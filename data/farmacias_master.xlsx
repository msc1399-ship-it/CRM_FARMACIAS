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rmacias" sheetId="1" r:id="rId4"/>
    <sheet state="visible" name="Reuniones" sheetId="2" r:id="rId5"/>
    <sheet state="visible" name="Auditorias" sheetId="3" r:id="rId6"/>
    <sheet state="visible" name="Clientes" sheetId="4" r:id="rId7"/>
    <sheet state="visible" name="Dashboard" sheetId="5" r:id="rId8"/>
  </sheets>
  <definedNames/>
  <calcPr/>
  <extLst>
    <ext uri="GoogleSheetsCustomDataVersion2">
      <go:sheetsCustomData xmlns:go="http://customooxmlschemas.google.com/" r:id="rId9" roundtripDataChecksum="3Mn/2uleZnQiAe+M1E6OcDZndro2upp+aN3tXCHmFCg="/>
    </ext>
  </extLst>
</workbook>
</file>

<file path=xl/sharedStrings.xml><?xml version="1.0" encoding="utf-8"?>
<sst xmlns="http://schemas.openxmlformats.org/spreadsheetml/2006/main" count="1790" uniqueCount="456">
  <si>
    <t>NOMBRE FARMACIA</t>
  </si>
  <si>
    <t>CIUDAD</t>
  </si>
  <si>
    <t>ZONA</t>
  </si>
  <si>
    <t>PRIORIDAD</t>
  </si>
  <si>
    <t>EMPLEADOS</t>
  </si>
  <si>
    <t>ESTADO DEL PROCESO</t>
  </si>
  <si>
    <t>ESTADO DEL CONTACTO</t>
  </si>
  <si>
    <t>TELEFONO</t>
  </si>
  <si>
    <t>EMAIL</t>
  </si>
  <si>
    <t>ULTIMA INTERACCION</t>
  </si>
  <si>
    <t>PROXIMA ACCION</t>
  </si>
  <si>
    <t>RESULTADO ULTIMO COTACTO</t>
  </si>
  <si>
    <t>NOTAS</t>
  </si>
  <si>
    <t>PARRA ASTORGANO, Mª DOLORES</t>
  </si>
  <si>
    <t>VALLADOLID</t>
  </si>
  <si>
    <t>ARTURO EYRIES</t>
  </si>
  <si>
    <t>BAJA</t>
  </si>
  <si>
    <t>Prospecto</t>
  </si>
  <si>
    <t>No contactado</t>
  </si>
  <si>
    <t>663 081 209</t>
  </si>
  <si>
    <t>info@farmaciaarturoeyries.es</t>
  </si>
  <si>
    <t>TEJEDOR TOQUERO, MARÍA TERESA</t>
  </si>
  <si>
    <t>MEDIA</t>
  </si>
  <si>
    <t>983 471 881</t>
  </si>
  <si>
    <t>farmaciatejedortoquero@gmail.com</t>
  </si>
  <si>
    <t>RODRÍGUEZ CARRASCAL, JAVIER</t>
  </si>
  <si>
    <t>983 23 61 14</t>
  </si>
  <si>
    <t>HERRERO VACA, MARÍA</t>
  </si>
  <si>
    <t>983 231 098</t>
  </si>
  <si>
    <t>mariaherrerovaca@gmail.com</t>
  </si>
  <si>
    <t>GARCÍA VELASCO, ROSA Mª</t>
  </si>
  <si>
    <t>983 23 36 92</t>
  </si>
  <si>
    <t>SERRANO PLAZA, Mª LUISA</t>
  </si>
  <si>
    <t>ALTA</t>
  </si>
  <si>
    <t>983 233 572</t>
  </si>
  <si>
    <t>marialuisaserrano@redfarma.org</t>
  </si>
  <si>
    <t>ESCUDERO DÍEZ, MARIA LUISA</t>
  </si>
  <si>
    <t>983 66 51 11</t>
  </si>
  <si>
    <t>COLMENERO DÍEZ, MARIA AUXILIADORA</t>
  </si>
  <si>
    <t>VIDAL CORCOBA, ROSARIO
SANZ VIDAL, MIGUEL ÁNGEL</t>
  </si>
  <si>
    <t>BARRIO ESPAÑA</t>
  </si>
  <si>
    <t>CALZÓN DUEÑAS, LAURA</t>
  </si>
  <si>
    <t>PÉREZ AMPUDIA, Mª DEL MILAGRO</t>
  </si>
  <si>
    <t>CAMPO GRANDE</t>
  </si>
  <si>
    <t>RODRÍGUEZ BLANCO, EMMA</t>
  </si>
  <si>
    <t>LÓPEZ ESCORIAL, CRISTINA</t>
  </si>
  <si>
    <t>RUIZ ALONSO, JESÚS ÁNGEL
RUIZ RAMOS, JAVIER</t>
  </si>
  <si>
    <t>SANABRIA MURCIEGO, JOSÉ MIGUEL</t>
  </si>
  <si>
    <t>PASCUAL PAÍNO, JESÚS MANUEL</t>
  </si>
  <si>
    <t>SANTIAGO SASTRE, GENOVEVA</t>
  </si>
  <si>
    <t>RODRÍGUEZ MARTÍN, Mª TERESA</t>
  </si>
  <si>
    <t>CANTERAC</t>
  </si>
  <si>
    <t>NAVAS MUÑOZ, AURORA</t>
  </si>
  <si>
    <t>LLANES GARCÍA, LUIS MANUEL</t>
  </si>
  <si>
    <t>GÓMEZ ARQUEROS, EDUARDO</t>
  </si>
  <si>
    <t>SECO DOMÍNGUEZ, Mª NIEVES</t>
  </si>
  <si>
    <t>BENÍTEZ VILLAR, BLANCA</t>
  </si>
  <si>
    <t>COUPEAU BORRÁS, PABLO JESÚS</t>
  </si>
  <si>
    <t>CENTRO-GAMAZO</t>
  </si>
  <si>
    <t>FUENTE MOREIRO, CONCEPCIÓN DE LA</t>
  </si>
  <si>
    <t>LÓPEZ-CASAMAYOR JUSTICIA, MARÍA DE LA PAZ</t>
  </si>
  <si>
    <t>PRESA VALENTÍN, VICENTE</t>
  </si>
  <si>
    <t>SOBRINO HEBRERO, CARMEN Mª</t>
  </si>
  <si>
    <t>ARROITA GARCÍA, FERNANDO</t>
  </si>
  <si>
    <t>CRESPO PÉREZ, JOSE LUIS</t>
  </si>
  <si>
    <t>GÓMEZ HERNÁNDEZ, ÁNGEL</t>
  </si>
  <si>
    <t>FURONES GIL, FRANCISCO JAVIER</t>
  </si>
  <si>
    <t>FERNÁNDEZ FERNÁNDEZ, VIRGINIA</t>
  </si>
  <si>
    <t>GARCÍA BLANCO, Mª ISABEL</t>
  </si>
  <si>
    <t>MARTÍNEZ DEL CASTILLO, JAVIER</t>
  </si>
  <si>
    <t>MARTÍNEZ MUÑOZ, MÓNICA</t>
  </si>
  <si>
    <t>ÁLVAREZ CARBALLO, SALVIA</t>
  </si>
  <si>
    <t>RODRÍGUEZ BALLESTERO, MARIA</t>
  </si>
  <si>
    <t>ARAUJO VALLE, MARTA</t>
  </si>
  <si>
    <t>MÍNGUEZ IGLESIAS, ANA</t>
  </si>
  <si>
    <t>CANO GIL, SARA MARIA</t>
  </si>
  <si>
    <t>CALLEJA DÍEZ, PAULA</t>
  </si>
  <si>
    <t>PASTOR MANCISIDOR, CARMEN</t>
  </si>
  <si>
    <t>BENITO DEZA, Mª DEL PILAR DE</t>
  </si>
  <si>
    <t>SANTAMARÍA VALDÉS, LORETO</t>
  </si>
  <si>
    <t>GARCÍA EVANGELIO, MARTA</t>
  </si>
  <si>
    <t>PRESA VALENTÍN, JUAN CARLOS</t>
  </si>
  <si>
    <t>ÁLVAREZ SÁNCHEZ, CÉSAR Mª</t>
  </si>
  <si>
    <t>CIRCUNVALACION</t>
  </si>
  <si>
    <t>TORANZO RODRÍGUEZ, ELENA</t>
  </si>
  <si>
    <t>CIRCUNVALACIÓN</t>
  </si>
  <si>
    <t>SANTOLINO GARCÍA, MARÍA ELENA</t>
  </si>
  <si>
    <t>MOLPECERES GARCÍA DEL POZO, ISABEL</t>
  </si>
  <si>
    <t>COLINA RIVERA, PABLO</t>
  </si>
  <si>
    <t>LLANES GARCÍA, MARIA</t>
  </si>
  <si>
    <t>TORANZO MORILLA, ANA MARGARITA</t>
  </si>
  <si>
    <t>DELICIAS I</t>
  </si>
  <si>
    <t>MARTÍNEZ OLMEDO, RAFAEL</t>
  </si>
  <si>
    <t>VILLAR VAQUERO, LUCÍA</t>
  </si>
  <si>
    <t>GARCÍA COLINO, Mª MAR</t>
  </si>
  <si>
    <t>GARCÍA NOGUEIRAS, ALEJANDRO</t>
  </si>
  <si>
    <t>PELETEIRO BENITO, ALICIA</t>
  </si>
  <si>
    <t>ILLANA FERNÁNDEZ, BASILIA</t>
  </si>
  <si>
    <t>SOBRINO MORENO, ÁLVARO</t>
  </si>
  <si>
    <t>GÓMEZ MARTÍN, Mª JOSÉ</t>
  </si>
  <si>
    <t>MELGAR TOBALINA, CÉSAR</t>
  </si>
  <si>
    <t>DELICIAS II</t>
  </si>
  <si>
    <t>SANJUÁN GONZÁLEZ, ANDREA INÉS</t>
  </si>
  <si>
    <t>CRESPO ALONSO, ISABEL
ZAMORA CRESPO, FABRICIO MANUEL</t>
  </si>
  <si>
    <t>TEJERINA TOURIÑO, MARIA F.</t>
  </si>
  <si>
    <t>PLAZA PÉREZ, Mª DEL CARMEN</t>
  </si>
  <si>
    <t>AGUADO PASCUAL, CARMEN</t>
  </si>
  <si>
    <t>CORONA SUANZES, TERESA
GARCÍA CORONA, ROSARIO DE FÁTIMA
GARCÍA CORONA, MARÍA</t>
  </si>
  <si>
    <t>LARREA PRIETO, CRISTINA</t>
  </si>
  <si>
    <t>CABRERA FERNÁNDEZ, ISABEL</t>
  </si>
  <si>
    <t>SÁNCHEZ CONCELLÓN, RICARDO</t>
  </si>
  <si>
    <t>ESPERANTO</t>
  </si>
  <si>
    <t>JUNQUERA FLÓREZ, ANGEL JOSÉ</t>
  </si>
  <si>
    <t>GÓMEZ VAAMONDE, ELENA
GONZÁLEZ GÓMEZ, CARLOS</t>
  </si>
  <si>
    <t>CHANA GALVÁN, Mª DEL CARMEN</t>
  </si>
  <si>
    <t>GARCÍA CHICO, Mª LUISA</t>
  </si>
  <si>
    <t>MARTÍN GONZÁLEZ, PAZ</t>
  </si>
  <si>
    <t>LARRIBA CALLE, DIODORO</t>
  </si>
  <si>
    <t>TASCÓN VICENTE, ANA BEATRIZ
TASCÓN VICENTE, JAVIER</t>
  </si>
  <si>
    <t>TORÍO ABAD, Mª ISABEL</t>
  </si>
  <si>
    <t>DIEGO GARCÍA, ARÁNZAZU</t>
  </si>
  <si>
    <t>PINDADO GONZÁLEZ, MARTA</t>
  </si>
  <si>
    <t>HUERTA DEL REY</t>
  </si>
  <si>
    <t>0-1</t>
  </si>
  <si>
    <t>PÉREZ PEREIRA, JOSÉ ANTONIO
BUIZA BADÁS, BEATRIZ</t>
  </si>
  <si>
    <t>MAROTO ARENAS, ESTHER
FRAGUA LÁZARO, MARIA</t>
  </si>
  <si>
    <t>JIMÉNEZ GÓMEZ, VICENTE</t>
  </si>
  <si>
    <t>SÁNCHEZ MARTÍN, Mª ALMUDENA</t>
  </si>
  <si>
    <t>SENOVILLA SANCHO, JUAN CARLOS</t>
  </si>
  <si>
    <t>SÁNCHEZ-GIRÓN GONZÁLEZ, BEATRIZ</t>
  </si>
  <si>
    <t>ESTEBAN RODRÍGUEZ, Mª DEL MAR</t>
  </si>
  <si>
    <t>GUTIÉRREZ GARCÍA, ANTONIO JOSÉ</t>
  </si>
  <si>
    <t>NAVARRO GÓMEZ, JUAN ANTONIO</t>
  </si>
  <si>
    <t>LÓPEZ FRANCO, MIGUEL ÁNGEL</t>
  </si>
  <si>
    <t>LA VICTORIA</t>
  </si>
  <si>
    <t>CANO BORREGO, JUAN ANDRES</t>
  </si>
  <si>
    <t>RUIZ HORTELANO, MIGUEL ANGEL</t>
  </si>
  <si>
    <t>SANTOS ESCUDERO, BEATRIZ</t>
  </si>
  <si>
    <t>GARCÍA QUEIPO, ANA</t>
  </si>
  <si>
    <t>ALAGUERO CALERO, SARA</t>
  </si>
  <si>
    <t>PÉREZ RODRÍGUEZ, Mª MERCEDES</t>
  </si>
  <si>
    <t>MARTÍN VIADA, JOSÉ RODRIGO</t>
  </si>
  <si>
    <t>MAGDALENA</t>
  </si>
  <si>
    <t>TRECEÑO LOBATO, CARLOS
TRECEÑO LOBATO, PEDRO</t>
  </si>
  <si>
    <t>PUENTE LÁZARO, VICTOR</t>
  </si>
  <si>
    <t>DÍEZ RIVERA, ÁNGEL</t>
  </si>
  <si>
    <t>NEBREDA CANTERO, ALFONSO FERNANDO</t>
  </si>
  <si>
    <t>PARQUESOL</t>
  </si>
  <si>
    <t>EL-ASI SECO, YASMIN</t>
  </si>
  <si>
    <t>SÁEZ LÓPEZ, PAULA INÉS</t>
  </si>
  <si>
    <t>MORENO GARCÍA, AMPARO</t>
  </si>
  <si>
    <t>MARTÍN SÁNCHEZ, YOLANDA</t>
  </si>
  <si>
    <t>LÁZARO SANCHO, MARTA</t>
  </si>
  <si>
    <t>ESPINEL DÍAZ, VIRGINIA
ESPINEL GARCÍA, ÁNGEL</t>
  </si>
  <si>
    <t>SANTAMARÍA ALONSO, BEATRIZ</t>
  </si>
  <si>
    <t>MARIÑO PALACIOS, FELIPE</t>
  </si>
  <si>
    <t>RUIZ SANTIAGO, ISABEL</t>
  </si>
  <si>
    <t>PILARICA</t>
  </si>
  <si>
    <t>PABLO ROJO, Mª ARÁNZAZU DE</t>
  </si>
  <si>
    <t>SANGRADOR FIERRO, ANA MARIA</t>
  </si>
  <si>
    <t>CARRERA AGUADO, ALFONSO
HUERTA ALBARRÁN, Mª ALMUDENA</t>
  </si>
  <si>
    <t>BLANCO GUERRA, CARMEN
FERNÁNDEZ BLANCO, FRANCISCO JAVIER</t>
  </si>
  <si>
    <t>ARROITA GARCÍA, JOSÉ TEODORO</t>
  </si>
  <si>
    <t>CUESTA PUERTAS, ANA DE LA</t>
  </si>
  <si>
    <t>MIRALLES FISURE, CARMEN MARÍA</t>
  </si>
  <si>
    <t>PLAZA CIRCULAR</t>
  </si>
  <si>
    <t>GONZÁLEZ GAMAZO, MARÍA</t>
  </si>
  <si>
    <t>ARRANZ MADRIGAL, ESTHER</t>
  </si>
  <si>
    <t>RODRÍGUEZ ÁLVAREZ, EMILIO</t>
  </si>
  <si>
    <t>MARTÍN MONEDERO, Mª REYES</t>
  </si>
  <si>
    <t>MOGOLLÓN MORILLA, PILAR</t>
  </si>
  <si>
    <t>GARCÍA MORATE, ALICIA
VEGA FERNÁNDEZ, OLGA</t>
  </si>
  <si>
    <t>RIVERA DE DIEGO, CARMEN</t>
  </si>
  <si>
    <t>CRESPO ESCUDERO, SILVIA MARÍA
CRESPO ESCUDERO, CAROLINA</t>
  </si>
  <si>
    <t>GARCÍA DEL POZO, VICTORINA</t>
  </si>
  <si>
    <t>RUIZ CUADRADO, ANA BELÉN</t>
  </si>
  <si>
    <t>RONDILLA I</t>
  </si>
  <si>
    <t>PRIETO RAMOS, ENRIQUE</t>
  </si>
  <si>
    <t>ARROITA GARCÍA, IRENE</t>
  </si>
  <si>
    <t>CANO BORREGO, PATRICIA MARIA</t>
  </si>
  <si>
    <t>FERNÁNDEZ MANTECA, Mª JESÚS</t>
  </si>
  <si>
    <t>CRUZ DE LA CUESTA, Mª DOLORES</t>
  </si>
  <si>
    <t>RONDILLA II</t>
  </si>
  <si>
    <t>CANO BORREGO, ULPIANO</t>
  </si>
  <si>
    <t>RODRÍGUEZ GARCÍA, Mª CONCEPCIÓN</t>
  </si>
  <si>
    <t>DOMINGO REDONDO, Mª LUISA</t>
  </si>
  <si>
    <t>PUENTE LÁZARO, CLARA</t>
  </si>
  <si>
    <t>SÁIZ VILLORIA, CRISTINA</t>
  </si>
  <si>
    <t>PÉREZ MARTÍN, JORGE</t>
  </si>
  <si>
    <t>ALONSO CASABELLA, ENRIQUETA</t>
  </si>
  <si>
    <t>SAN ISIDRO-PAJARILLOS</t>
  </si>
  <si>
    <t>PASTOR MUÑIZ, Mª INMACULADA</t>
  </si>
  <si>
    <t>CASADO DEL POZO, SUSANA</t>
  </si>
  <si>
    <t>ANDRÉS GARCÍA, ANA MARÍA</t>
  </si>
  <si>
    <t>GÓMEZ ARQUEROS, CARLOS</t>
  </si>
  <si>
    <t>ARNÁIZ ESTEBAN, ALMUDENA</t>
  </si>
  <si>
    <t>ARMENDIA PÉREZ, MARIA DEL ARRABAL</t>
  </si>
  <si>
    <t>SAN PABLO</t>
  </si>
  <si>
    <t>EGIDO HERNÁNDEZ, OLGA</t>
  </si>
  <si>
    <t>REAL LLORENTE, JUAN DEL</t>
  </si>
  <si>
    <t>BOSQUE BARBERO, Mª PILAR DEL</t>
  </si>
  <si>
    <t>PINILLA MATEOS, JUAN CARLOS</t>
  </si>
  <si>
    <t>PARRA SÁNCHEZ, VICTOR JOSÉ</t>
  </si>
  <si>
    <t>VILLANUEVA SOLARES, JULIA</t>
  </si>
  <si>
    <t>SANTIAGO SASTRE, BLANCA</t>
  </si>
  <si>
    <t>VALLADOLID SUR</t>
  </si>
  <si>
    <t>BLANCO RODRÍGUEZ, JOSE TEODORO</t>
  </si>
  <si>
    <t>CASADO LÓPEZ, Mª DEL CARMEN</t>
  </si>
  <si>
    <t>QUINTANA BLANCO, SARA</t>
  </si>
  <si>
    <t>GÓMEZ GARCÍA-BERMEJO, SARA</t>
  </si>
  <si>
    <t>REDONDO GALVÁN, PEDRO</t>
  </si>
  <si>
    <t>REDONDO FERNÁNDEZ, TELESFORO</t>
  </si>
  <si>
    <t>VIVAR COLLAZOS, RUT</t>
  </si>
  <si>
    <t>HERNÁNDEZ GARCÍA, MARÍA LUJÁN</t>
  </si>
  <si>
    <t>VILLAFRECHOS</t>
  </si>
  <si>
    <t>SÁNCHEZ CORNEJO, MARÍA</t>
  </si>
  <si>
    <t>ALAEJOS</t>
  </si>
  <si>
    <t>JÓDAR PEREÑA, ANA TERESA</t>
  </si>
  <si>
    <t>OLMEDO</t>
  </si>
  <si>
    <t>SANTANA DE MIGUEL, JOSÉ MANUEL</t>
  </si>
  <si>
    <t>PORTILLO</t>
  </si>
  <si>
    <t>MAESTRE MARTÍNEZ, Mª DEL ROSARIO</t>
  </si>
  <si>
    <t>PISUERGA</t>
  </si>
  <si>
    <t>PEDRO MÚÑEZ, SOFÍA DE</t>
  </si>
  <si>
    <t>CARRASCAL DEL SOLAR, CONCEPCIÓN
RODRÍGUEZ CARRASCAL, LUIS</t>
  </si>
  <si>
    <t>BERMÚDEZ GONZÁLEZ, LIDIA</t>
  </si>
  <si>
    <t>MEDINA DEL CAMPO RURAL</t>
  </si>
  <si>
    <t>POSADA GÓMEZ, CRISTINA</t>
  </si>
  <si>
    <t>GARCÍA GARCÍA, JESÚS MANUEL</t>
  </si>
  <si>
    <t>LAGUNA DE DUERO</t>
  </si>
  <si>
    <t>HERNÁNDEZ DÍEZ, Mª DEL ROSARIO</t>
  </si>
  <si>
    <t>RODRIGO RODRÍGUEZ, Mª PILAR</t>
  </si>
  <si>
    <t>VALLADOLID RURAL I</t>
  </si>
  <si>
    <t>SÁNCHEZ RAMOS, CRISTINA</t>
  </si>
  <si>
    <t>PEÑAFIEL</t>
  </si>
  <si>
    <t>VEIGA BAO, Mª ELENA</t>
  </si>
  <si>
    <t>FERNÁNDEZ MARTÍNEZ, Mª SOLEDAD</t>
  </si>
  <si>
    <t>MEDINA DE RIOSECO</t>
  </si>
  <si>
    <t>RODRÍGUEZ BURGOA, NATIVIDAD</t>
  </si>
  <si>
    <t>RODRÍGUEZ RODRÍGUEZ, GEMA</t>
  </si>
  <si>
    <t>MARCOS GARCÍA, ADORACIÓN</t>
  </si>
  <si>
    <t>CIGALES</t>
  </si>
  <si>
    <t>LEZCANO LACALLE, BLANCA</t>
  </si>
  <si>
    <t>VALLADOLID RURAL II</t>
  </si>
  <si>
    <t>SÁNCHEZ NAVARRO, DOLORES</t>
  </si>
  <si>
    <t>TOCINO RAMOS, JUAN PABLO</t>
  </si>
  <si>
    <t>OLMO TORIBIO, HORTENSIA DEL</t>
  </si>
  <si>
    <t>NIETO GONZÁLEZ, JOSE FERNANDO</t>
  </si>
  <si>
    <t>ESGUEVILLAS DE ESGUEVA</t>
  </si>
  <si>
    <t>GONZÁLEZ ANDRÉS, Mª NIEVES</t>
  </si>
  <si>
    <t>NAVAS BARROCAL, EUSEBIO</t>
  </si>
  <si>
    <t>PALACIOS TRABANCO, MANUEL</t>
  </si>
  <si>
    <t>SÁNCHEZ RODRÍGUEZ, VIRGINIA</t>
  </si>
  <si>
    <t>GARCÍA ABASCAL, VERÓNICA</t>
  </si>
  <si>
    <t>PRIETO ESTEBAN, CRISTINA</t>
  </si>
  <si>
    <t>ISCAR</t>
  </si>
  <si>
    <t>SÁNCHEZ LEÓN, JOSÉ MARÍA</t>
  </si>
  <si>
    <t>SANZ VÍRSEDA, MIGUEL
SANZ VÍRSEDA, MARINA</t>
  </si>
  <si>
    <t>RODRÍGUEZ FERRERONS, PATRICIA</t>
  </si>
  <si>
    <t>MAESTRO FERNÁNDEZ, Mª CRISTINA</t>
  </si>
  <si>
    <t>FERNÁNDEZ-ARIAS GONZÁLEZ, ANA MARIA
MATESANZ BERZAL, JESUS MANUEL</t>
  </si>
  <si>
    <t>RIO VICENTE, ROSA Mª DEL</t>
  </si>
  <si>
    <t>HERRERA TASIS, BELEN</t>
  </si>
  <si>
    <t>BERNÁRDEZ MARTÍNEZ, MÓNICA</t>
  </si>
  <si>
    <t>MONTEAGUDO PARRALEJO, MIGUEL ANGEL</t>
  </si>
  <si>
    <t>GARCÍA-PUENTE RIVAS, ENRIQUE</t>
  </si>
  <si>
    <t>GARCÍA PINTO, IGNACIO</t>
  </si>
  <si>
    <t>SÁNCHEZ CURTO, Mª DEL CARMEN</t>
  </si>
  <si>
    <t>SERRADA</t>
  </si>
  <si>
    <t>ARROYO FRAGUA, MARIA JESÚS</t>
  </si>
  <si>
    <t>MAYORGA</t>
  </si>
  <si>
    <t>OBESO GRIFOL, DAVID
GONZÁLEZ LAMAS, LETICIA</t>
  </si>
  <si>
    <t>GUTIÉRREZ LAGUNA, MYRIAM</t>
  </si>
  <si>
    <t>GORDO FRUTOS, ENRIQUE</t>
  </si>
  <si>
    <t>MEDINA DEL CAMPO URBANO</t>
  </si>
  <si>
    <t>GARCÍA SANTOS, LIDIA</t>
  </si>
  <si>
    <t>GARCÍA ESCRIBANO, ANGELA
GARCÍA ESCRIBANO, NORBERTO
GARCÍA ESCRIBANO, MANUEL</t>
  </si>
  <si>
    <t>FERNÁNDEZ-MELLADO LÓPEZ, JULIÁN</t>
  </si>
  <si>
    <t>CASADO CASTAÑEDA, Mª DEL CARMEN</t>
  </si>
  <si>
    <t>SANZ FERNÁNDEZ-MELLADO, LAURA</t>
  </si>
  <si>
    <t>VICENTE-FRANQUEIRA RODRÍGUEZ, RAMÓN Mª</t>
  </si>
  <si>
    <t>RUPÉREZ GARCÍA DEL CARRIZO, MIRIAN</t>
  </si>
  <si>
    <t>LERA FLÓREZ, GERARDO</t>
  </si>
  <si>
    <t>CRUZ DE LA CUESTA, ANTONIO</t>
  </si>
  <si>
    <t>GALLARDO MARTÍN, BELÉN</t>
  </si>
  <si>
    <t>BARAJAS VILLAR, Mª ASCENSION</t>
  </si>
  <si>
    <t>MOTA DEL MARQUES</t>
  </si>
  <si>
    <t>RUA GARCÍA, SHEILA DE LA</t>
  </si>
  <si>
    <t>MARTÍN DEL CAMPO, ANA MARÍA</t>
  </si>
  <si>
    <t>SINOVA TEJEDO, IRENE
GALLEGO ARRANZ, TERESA</t>
  </si>
  <si>
    <t>OLLEROS ANAYA, ANA MARÍA</t>
  </si>
  <si>
    <t>MARTÍNEZ OLMEDO, JORGE</t>
  </si>
  <si>
    <t>CAÑIBANO ÁLVAREZ, SANTOS</t>
  </si>
  <si>
    <t>TUDELA DE DUERO</t>
  </si>
  <si>
    <t>MARTÍN LARA, LOURDES</t>
  </si>
  <si>
    <t>ARRIBAS LÁZARO, JESÚS MARÍA</t>
  </si>
  <si>
    <t>GARCÍA DEL POZO, DOLORES</t>
  </si>
  <si>
    <t>CAMPO BARRIENTOS, PAULA DEL</t>
  </si>
  <si>
    <t>TORRE PALOMARES, ANGEL MANUEL DE LA</t>
  </si>
  <si>
    <t>LÓPEZ ANTÓN, CARLOS</t>
  </si>
  <si>
    <t>PACHECO SÁNCHEZ, LORENA</t>
  </si>
  <si>
    <t>SÁNCHEZ HERRERA, INMACULADA</t>
  </si>
  <si>
    <t>SANZ BOTÍN, CARLOS</t>
  </si>
  <si>
    <t>RODRÍGUEZ TEJEDOR, Mª TERESA</t>
  </si>
  <si>
    <t>POZO MARTÍNEZ, SOFÍA DEL</t>
  </si>
  <si>
    <t>ALCALDE RODRIGO, SARA</t>
  </si>
  <si>
    <t>SÁEZ PAZ, Mª DEL MAR</t>
  </si>
  <si>
    <t>VILLAR IGEA, MARIA DEL</t>
  </si>
  <si>
    <t>ÁLVAREZ MOURE, ANA MARÍA</t>
  </si>
  <si>
    <t>SÁNCHEZ GONZÁLEZ, YOLANDA</t>
  </si>
  <si>
    <t>RODRÍGUEZ MORENO, CATALINA M.A.</t>
  </si>
  <si>
    <t>TORDESILLAS</t>
  </si>
  <si>
    <t>CHAVER ARNAZ, Mª DE LOS ÁNGELES
ORDAX CARBAJO, LUCÍA</t>
  </si>
  <si>
    <t>IGLESIAS GARCÍA, BEATRIZ</t>
  </si>
  <si>
    <t>SALAMANQUÉS PÉREZ, JOSÉ Mª</t>
  </si>
  <si>
    <t>REDONDO ÁVILA, Mª ISABEL</t>
  </si>
  <si>
    <t>GARCÍA SANTOS, ANTONIO</t>
  </si>
  <si>
    <t>PASTOR ZURRO, MARGARITA
PASTOR REDONDO, SARA</t>
  </si>
  <si>
    <t>FERNÁNDEZ ALONSO, Mª ÁNGELES</t>
  </si>
  <si>
    <t>MUÑOZ DOMÍNGUEZ, TERESA</t>
  </si>
  <si>
    <t>PÉREZ CUADRADO, ANA</t>
  </si>
  <si>
    <t>PERAL PUPARELLI, MANUEL</t>
  </si>
  <si>
    <t>RODRÍGUEZ SIGÜENZA, JOSE M.</t>
  </si>
  <si>
    <t>MAESO MIGUEL, ISABEL</t>
  </si>
  <si>
    <t>GARCÍA GUTIÉRREZ, Mª CRISTINA</t>
  </si>
  <si>
    <t>LOBO ESTEBAN, INMACULADA</t>
  </si>
  <si>
    <t>CARRERA DOMÍNGUEZ, MARINA</t>
  </si>
  <si>
    <t>MOZO IGLESIAS, BEATRIZ</t>
  </si>
  <si>
    <t>RUBIO GONZÁLEZ-VILLAMIL, COVADONGA</t>
  </si>
  <si>
    <t>BARTOLOMÉ GALLEGO, Mª SONSOLES</t>
  </si>
  <si>
    <t>COLOMA MILANO, CARLOS</t>
  </si>
  <si>
    <t>MILLARUELO FRONTELA, Mª DEL PILAR</t>
  </si>
  <si>
    <t>SABORIDO COIRADAS, RAQUEL</t>
  </si>
  <si>
    <t>VALDERAS</t>
  </si>
  <si>
    <t>LABAJO MOLPECERES, ANA</t>
  </si>
  <si>
    <t>MERINO MIGUEL, Mª DEL CARMEN</t>
  </si>
  <si>
    <t>MARTÍN ALONSO, CARMEN</t>
  </si>
  <si>
    <t>REGALADO DEL POZO, MANUEL EDUARDO</t>
  </si>
  <si>
    <t>FERNÁNDEZ RODRÍGUEZ, INMACULADA</t>
  </si>
  <si>
    <t>BERNÁLDEZ MIGUEL, CRISTINA</t>
  </si>
  <si>
    <t>RODRÍGUEZ RIUS, POL</t>
  </si>
  <si>
    <t>SÁNCHEZ GALINDO, BEATRIZ</t>
  </si>
  <si>
    <t>VIDAL PÉREZ, ALEXIA Mª</t>
  </si>
  <si>
    <t>VILLALÓN</t>
  </si>
  <si>
    <t>MOLINA HERNANDO, ROSA Mª</t>
  </si>
  <si>
    <t>RODRÍGUEZ GARCÍA, CONCEPCIÓN VILLAR</t>
  </si>
  <si>
    <t>LÓPEZ MUÑOYERRO, PETRA</t>
  </si>
  <si>
    <t>ALBARRÁN SANZ, ROCIO CONCEPCIÓN</t>
  </si>
  <si>
    <t>MOTA DEL MARQUÉS</t>
  </si>
  <si>
    <t>RAMOS GÓMEZ, JUAN JOSÉ</t>
  </si>
  <si>
    <t>MORILLO RUIZ, Mª DEL ROSARIO</t>
  </si>
  <si>
    <t>VALLE ROBLES, Mª DEL CARMEN</t>
  </si>
  <si>
    <t>REINA DE LA TORRE, MERCEDES
GALISTEO REINA, MERCEDES</t>
  </si>
  <si>
    <r>
      <rPr>
        <rFont val="Calibri"/>
        <color rgb="FF000000"/>
      </rPr>
      <t xml:space="preserve">
DOCTOR ADAN VALLEJ</t>
    </r>
    <r>
      <rPr>
        <rFont val="Calibri"/>
        <color theme="1"/>
      </rPr>
      <t>O</t>
    </r>
  </si>
  <si>
    <t>PALENCIA</t>
  </si>
  <si>
    <t>Centro de salud
La Puebla</t>
  </si>
  <si>
    <t>JOSE MARIA, ARNAIZ POZA</t>
  </si>
  <si>
    <t>Centro de salud
San Juanillo</t>
  </si>
  <si>
    <t>FARMACIA ATIENZA</t>
  </si>
  <si>
    <t>Centro de salud
Jardinillos</t>
  </si>
  <si>
    <r>
      <rPr>
        <rFont val="Calibri"/>
        <color rgb="FF000000"/>
      </rPr>
      <t>BUJ NURIA ESTHE</t>
    </r>
    <r>
      <rPr>
        <rFont val="Calibri"/>
        <color theme="1"/>
      </rPr>
      <t>R</t>
    </r>
  </si>
  <si>
    <r>
      <rPr>
        <rFont val="Calibri"/>
        <color rgb="FF000000"/>
      </rPr>
      <t>BECERRIL RAMOS,</t>
    </r>
    <r>
      <rPr>
        <rFont val="Calibri"/>
        <color rgb="FF000000"/>
      </rPr>
      <t xml:space="preserve">
RAFAE</t>
    </r>
    <r>
      <rPr>
        <rFont val="Calibri"/>
        <color theme="1"/>
      </rPr>
      <t>L</t>
    </r>
  </si>
  <si>
    <r>
      <rPr>
        <rFont val="Calibri"/>
        <color rgb="FF000000"/>
      </rPr>
      <t>CABEZA ALLER,</t>
    </r>
    <r>
      <rPr>
        <rFont val="Calibri"/>
        <color theme="1"/>
      </rPr>
      <t xml:space="preserve">
ESPERANZ</t>
    </r>
    <r>
      <rPr>
        <rFont val="Calibri"/>
        <color theme="1"/>
      </rPr>
      <t>A.</t>
    </r>
  </si>
  <si>
    <t>CALVO GARCIA, CARMEN</t>
  </si>
  <si>
    <r>
      <rPr>
        <rFont val="Calibri"/>
        <color rgb="FF000000"/>
      </rPr>
      <t>DE LA FUENTE MARCOS,</t>
    </r>
    <r>
      <rPr>
        <rFont val="Calibri"/>
        <color theme="1"/>
      </rPr>
      <t xml:space="preserve">
BEATRI</t>
    </r>
    <r>
      <rPr>
        <rFont val="Calibri"/>
        <color theme="1"/>
      </rPr>
      <t>Z</t>
    </r>
  </si>
  <si>
    <t>Centro de salud
Pintor Oliva</t>
  </si>
  <si>
    <t>CALDERON NAJERA, MARIA GLORIA</t>
  </si>
  <si>
    <t>FARMACIA FONT, CB</t>
  </si>
  <si>
    <r>
      <rPr>
        <rFont val="Calibri"/>
        <color rgb="FF000000"/>
      </rPr>
      <t>FUENTES CASAÑE,</t>
    </r>
    <r>
      <rPr>
        <rFont val="Calibri"/>
        <color theme="1"/>
      </rPr>
      <t xml:space="preserve">
ISIDORO D</t>
    </r>
    <r>
      <rPr>
        <rFont val="Calibri"/>
        <color theme="1"/>
      </rPr>
      <t>E</t>
    </r>
  </si>
  <si>
    <r>
      <rPr>
        <rFont val="Calibri"/>
        <color rgb="FF000000"/>
      </rPr>
      <t>FUENTES CASAÑE,</t>
    </r>
    <r>
      <rPr>
        <rFont val="Calibri"/>
        <color theme="1"/>
      </rPr>
      <t xml:space="preserve">
MARIA TERESA D</t>
    </r>
    <r>
      <rPr>
        <rFont val="Calibri"/>
        <color theme="1"/>
      </rPr>
      <t>E</t>
    </r>
  </si>
  <si>
    <t>FARMACIA DR. FUENTES</t>
  </si>
  <si>
    <r>
      <rPr>
        <rFont val="Calibri"/>
        <color rgb="FF000000"/>
      </rPr>
      <t>GARCIA-MALVAR GUTIERREZ</t>
    </r>
    <r>
      <rPr>
        <rFont val="Calibri"/>
        <color theme="1"/>
      </rPr>
      <t xml:space="preserve">
FRANCISCO-JOS</t>
    </r>
    <r>
      <rPr>
        <rFont val="Calibri"/>
        <color theme="1"/>
      </rPr>
      <t>E</t>
    </r>
  </si>
  <si>
    <t>DE DIEGO DURANTEZ, GONZALO</t>
  </si>
  <si>
    <t>FARMACIA HERRERO DE LA FUENTE</t>
  </si>
  <si>
    <r>
      <rPr>
        <rFont val="Calibri"/>
        <color rgb="FF000000"/>
      </rPr>
      <t>FARMACIA</t>
    </r>
    <r>
      <rPr>
        <rFont val="Calibri"/>
        <color theme="1"/>
      </rPr>
      <t xml:space="preserve">
BERMEJO HERRER</t>
    </r>
    <r>
      <rPr>
        <rFont val="Calibri"/>
        <color theme="1"/>
      </rPr>
      <t>O</t>
    </r>
  </si>
  <si>
    <t>FARMACIA - OPTICA JUNCO, C.B.</t>
  </si>
  <si>
    <t>NEBREDA CANTERIO, RODRIGO MANUEL</t>
  </si>
  <si>
    <t>FARMACIA MAÑERO</t>
  </si>
  <si>
    <t>HERNANDEZ TESORERO, NURIA</t>
  </si>
  <si>
    <r>
      <rPr>
        <rFont val="Calibri"/>
        <color rgb="FF000000"/>
      </rPr>
      <t>LLAMAS DURANTEZ,</t>
    </r>
    <r>
      <rPr>
        <rFont val="Calibri"/>
        <color theme="1"/>
      </rPr>
      <t xml:space="preserve">
MARIA DEL CARME</t>
    </r>
    <r>
      <rPr>
        <rFont val="Calibri"/>
        <color theme="1"/>
      </rPr>
      <t>N</t>
    </r>
  </si>
  <si>
    <r>
      <rPr>
        <rFont val="Calibri"/>
        <color rgb="FF000000"/>
      </rPr>
      <t>MARTIN FOMBELLIDA,</t>
    </r>
    <r>
      <rPr>
        <rFont val="Calibri"/>
        <color theme="1"/>
      </rPr>
      <t xml:space="preserve">
ANA BELE</t>
    </r>
    <r>
      <rPr>
        <rFont val="Calibri"/>
        <color theme="1"/>
      </rPr>
      <t>N</t>
    </r>
  </si>
  <si>
    <r>
      <rPr>
        <rFont val="Calibri"/>
        <color rgb="FF000000"/>
      </rPr>
      <t>MARTINEZ RUBIO,</t>
    </r>
    <r>
      <rPr>
        <rFont val="Calibri"/>
        <color theme="1"/>
      </rPr>
      <t xml:space="preserve">
RAMO</t>
    </r>
    <r>
      <rPr>
        <rFont val="Calibri"/>
        <color theme="1"/>
      </rPr>
      <t>N</t>
    </r>
  </si>
  <si>
    <r>
      <rPr>
        <rFont val="Calibri"/>
        <color rgb="FF000000"/>
      </rPr>
      <t>MELENDRE ARAGON,</t>
    </r>
    <r>
      <rPr>
        <rFont val="Calibri"/>
        <color theme="1"/>
      </rPr>
      <t xml:space="preserve">
PATRICI</t>
    </r>
    <r>
      <rPr>
        <rFont val="Calibri"/>
        <color theme="1"/>
      </rPr>
      <t>A</t>
    </r>
  </si>
  <si>
    <r>
      <rPr>
        <rFont val="Calibri"/>
        <color rgb="FF000000"/>
      </rPr>
      <t>MERINO LOZANO,</t>
    </r>
    <r>
      <rPr>
        <rFont val="Calibri"/>
        <color theme="1"/>
      </rPr>
      <t xml:space="preserve">
VALENTI</t>
    </r>
    <r>
      <rPr>
        <rFont val="Calibri"/>
        <color theme="1"/>
      </rPr>
      <t>N</t>
    </r>
  </si>
  <si>
    <r>
      <rPr>
        <rFont val="Calibri"/>
        <color rgb="FF000000"/>
      </rPr>
      <t>PENAGOS MADRIGAL,</t>
    </r>
    <r>
      <rPr>
        <rFont val="Calibri"/>
        <color theme="1"/>
      </rPr>
      <t xml:space="preserve">
LARA ALEJANDR</t>
    </r>
    <r>
      <rPr>
        <rFont val="Calibri"/>
        <color theme="1"/>
      </rPr>
      <t>A</t>
    </r>
  </si>
  <si>
    <r>
      <rPr>
        <rFont val="Calibri"/>
        <color rgb="FF000000"/>
      </rPr>
      <t>PLAZA APARICIO,</t>
    </r>
    <r>
      <rPr>
        <rFont val="Calibri"/>
        <color theme="1"/>
      </rPr>
      <t xml:space="preserve">
ANA MARI</t>
    </r>
    <r>
      <rPr>
        <rFont val="Calibri"/>
        <color theme="1"/>
      </rPr>
      <t>A</t>
    </r>
  </si>
  <si>
    <r>
      <rPr>
        <rFont val="Calibri"/>
        <color rgb="FF000000"/>
      </rPr>
      <t>POLO TORREGO,</t>
    </r>
    <r>
      <rPr>
        <rFont val="Calibri"/>
        <color theme="1"/>
      </rPr>
      <t xml:space="preserve">
LUIS</t>
    </r>
    <r>
      <rPr>
        <rFont val="Calibri"/>
        <color theme="1"/>
      </rPr>
      <t>A</t>
    </r>
  </si>
  <si>
    <t>Centro de salud
Pan y Guindas</t>
  </si>
  <si>
    <t>GONZALEZ CELADA, ESPERANZA</t>
  </si>
  <si>
    <r>
      <rPr>
        <rFont val="Calibri"/>
        <color rgb="FF000000"/>
      </rPr>
      <t>REVILLA TORRIJOS,</t>
    </r>
    <r>
      <rPr>
        <rFont val="Calibri"/>
        <color theme="1"/>
      </rPr>
      <t xml:space="preserve">
TERES</t>
    </r>
    <r>
      <rPr>
        <rFont val="Calibri"/>
        <color theme="1"/>
      </rPr>
      <t>A</t>
    </r>
  </si>
  <si>
    <r>
      <rPr>
        <rFont val="Calibri"/>
        <color rgb="FF000000"/>
      </rPr>
      <t>RODRIGUEZ BARBERO,</t>
    </r>
    <r>
      <rPr>
        <rFont val="Calibri"/>
        <color theme="1"/>
      </rPr>
      <t xml:space="preserve">
EMILI</t>
    </r>
    <r>
      <rPr>
        <rFont val="Calibri"/>
        <color theme="1"/>
      </rPr>
      <t>O</t>
    </r>
  </si>
  <si>
    <r>
      <rPr>
        <rFont val="Calibri"/>
        <color rgb="FF000000"/>
      </rPr>
      <t>SANCHEZ MARTINEZ DE IRUJO,</t>
    </r>
    <r>
      <rPr>
        <rFont val="Calibri"/>
        <color theme="1"/>
      </rPr>
      <t xml:space="preserve">
AN</t>
    </r>
    <r>
      <rPr>
        <rFont val="Calibri"/>
        <color theme="1"/>
      </rPr>
      <t>A</t>
    </r>
  </si>
  <si>
    <t>TRANCHO ARAGON, VIRGINIA</t>
  </si>
  <si>
    <r>
      <rPr>
        <rFont val="Calibri"/>
        <color rgb="FF000000"/>
      </rPr>
      <t>NAJERA SOTORRIO,</t>
    </r>
    <r>
      <rPr>
        <rFont val="Calibri"/>
        <color theme="1"/>
      </rPr>
      <t xml:space="preserve">
</t>
    </r>
    <r>
      <rPr>
        <rFont val="Calibri"/>
        <color rgb="FF000000"/>
      </rPr>
      <t>MARIA DEL CARMEN</t>
    </r>
  </si>
  <si>
    <t>CRYSTELLYS SANCHO, JACOBO</t>
  </si>
  <si>
    <r>
      <rPr>
        <rFont val="Calibri"/>
        <color rgb="FF000000"/>
      </rPr>
      <t>VALVERDE MERINO,</t>
    </r>
    <r>
      <rPr>
        <rFont val="Calibri"/>
        <color theme="1"/>
      </rPr>
      <t xml:space="preserve">
IGNACI</t>
    </r>
    <r>
      <rPr>
        <rFont val="Calibri"/>
        <color theme="1"/>
      </rPr>
      <t>O</t>
    </r>
  </si>
  <si>
    <r>
      <rPr>
        <rFont val="Calibri"/>
        <color rgb="FF000000"/>
      </rPr>
      <t>VELASCO VELASCO</t>
    </r>
    <r>
      <rPr>
        <rFont val="Calibri"/>
        <color theme="1"/>
      </rPr>
      <t xml:space="preserve">
MARIA BEGOÑ</t>
    </r>
    <r>
      <rPr>
        <rFont val="Calibri"/>
        <color theme="1"/>
      </rPr>
      <t>A</t>
    </r>
  </si>
  <si>
    <t>Farmacia</t>
  </si>
  <si>
    <t>Tipo</t>
  </si>
  <si>
    <t>Fecha</t>
  </si>
  <si>
    <t>Resultado</t>
  </si>
  <si>
    <t>Objeción</t>
  </si>
  <si>
    <t>Motivo positivo</t>
  </si>
  <si>
    <t>Resumen</t>
  </si>
  <si>
    <t>Próxima acción</t>
  </si>
  <si>
    <t>Estado</t>
  </si>
  <si>
    <t>Fecha venta</t>
  </si>
  <si>
    <t>Fecha entrega</t>
  </si>
  <si>
    <t>Horas totales</t>
  </si>
  <si>
    <t>Tipo servicio</t>
  </si>
  <si>
    <t>Fecha inicio</t>
  </si>
  <si>
    <t>Cuota mensual (€)</t>
  </si>
  <si>
    <t>Último contacto</t>
  </si>
  <si>
    <t>Motivo baja</t>
  </si>
  <si>
    <t>CRM FARMACIAS — DASHBOARD COMERCIAL</t>
  </si>
  <si>
    <t>Indicador</t>
  </si>
  <si>
    <t>Valor</t>
  </si>
  <si>
    <t>Lectura</t>
  </si>
  <si>
    <t>Provincia</t>
  </si>
  <si>
    <t>Total</t>
  </si>
  <si>
    <t>Farmacias totales</t>
  </si>
  <si>
    <t>Base comercial cargada</t>
  </si>
  <si>
    <t>Valladolid</t>
  </si>
  <si>
    <t>Contactadas</t>
  </si>
  <si>
    <t>Primer contacto realizado</t>
  </si>
  <si>
    <t>Palencia</t>
  </si>
  <si>
    <t>Reuniones</t>
  </si>
  <si>
    <t>Interés cualificado</t>
  </si>
  <si>
    <t>Salamanca</t>
  </si>
  <si>
    <t>Auditorías</t>
  </si>
  <si>
    <t>Oportunidad avanzada</t>
  </si>
  <si>
    <t>Propuestas</t>
  </si>
  <si>
    <t>Oferta enviada</t>
  </si>
  <si>
    <t>Clientes activos</t>
  </si>
  <si>
    <t>MRR real</t>
  </si>
  <si>
    <t>Prioridad</t>
  </si>
  <si>
    <t>MRR estimado ponderado</t>
  </si>
  <si>
    <t>Forecast ponderado</t>
  </si>
  <si>
    <t>Tasa reunión/contacto</t>
  </si>
  <si>
    <t>Conversión inicial</t>
  </si>
  <si>
    <t>Tasa cliente/auditoría</t>
  </si>
  <si>
    <t>Conversión final</t>
  </si>
  <si>
    <t>Sin definir</t>
  </si>
  <si>
    <t>Fase</t>
  </si>
  <si>
    <t>Nº farmacias</t>
  </si>
  <si>
    <t>% sobre total</t>
  </si>
  <si>
    <t>Contactada</t>
  </si>
  <si>
    <t>Visitar</t>
  </si>
  <si>
    <t>Reunión</t>
  </si>
  <si>
    <t>Seguimiento</t>
  </si>
  <si>
    <t>Auditoría</t>
  </si>
  <si>
    <t>Programada</t>
  </si>
  <si>
    <t>Propuesta enviada</t>
  </si>
  <si>
    <t>Mantenimiento</t>
  </si>
  <si>
    <t>Cliente activo</t>
  </si>
  <si>
    <t>Perdido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</si>
</sst>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"/>
    <numFmt numFmtId="165" formatCode="#,##0 €"/>
    <numFmt numFmtId="166" formatCode="0.0%"/>
  </numFmts>
  <fonts count="11">
    <font>
      <sz val="11.0"/>
      <color theme="1"/>
      <name val="Calibri"/>
      <scheme val="minor"/>
    </font>
    <font>
      <b/>
      <color rgb="FFFFFFFF"/>
      <name val="Calibri"/>
      <scheme val="minor"/>
    </font>
    <font>
      <color rgb="FF333333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color rgb="FF333333"/>
      <name val="FiraSansSB"/>
    </font>
    <font>
      <color theme="1"/>
      <name val="FiraSansSB"/>
    </font>
    <font>
      <color theme="1"/>
      <name val="Verdana"/>
    </font>
    <font>
      <b/>
      <sz val="14.0"/>
      <color rgb="FFFFFFFF"/>
      <name val="Calibri"/>
    </font>
    <font>
      <sz val="11.0"/>
      <color theme="1"/>
      <name val="Calibri"/>
    </font>
    <font>
      <b/>
      <sz val="11.0"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1E293B"/>
        <bgColor rgb="FF1E293B"/>
      </patternFill>
    </fill>
    <fill>
      <patternFill patternType="solid">
        <fgColor rgb="FF0F172A"/>
        <bgColor rgb="FF0F172A"/>
      </patternFill>
    </fill>
    <fill>
      <patternFill patternType="solid">
        <fgColor rgb="FFF8FAFC"/>
        <bgColor rgb="FFF8FAF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3" fontId="2" numFmtId="0" xfId="0" applyAlignment="1" applyFill="1" applyFont="1">
      <alignment readingOrder="0" shrinkToFit="0" wrapText="0"/>
    </xf>
    <xf borderId="0" fillId="3" fontId="2" numFmtId="164" xfId="0" applyAlignment="1" applyFont="1" applyNumberFormat="1">
      <alignment readingOrder="0" shrinkToFit="0" wrapText="0"/>
    </xf>
    <xf borderId="0" fillId="3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3" fontId="5" numFmtId="0" xfId="0" applyAlignment="1" applyFont="1">
      <alignment horizontal="center" shrinkToFit="0" wrapText="0"/>
    </xf>
    <xf borderId="0" fillId="3" fontId="6" numFmtId="0" xfId="0" applyAlignment="1" applyFont="1">
      <alignment horizontal="center" shrinkToFit="0" wrapText="0"/>
    </xf>
    <xf borderId="0" fillId="3" fontId="2" numFmtId="0" xfId="0" applyAlignment="1" applyFont="1">
      <alignment horizontal="right" readingOrder="0" shrinkToFit="0" wrapText="0"/>
    </xf>
    <xf borderId="0" fillId="3" fontId="6" numFmtId="0" xfId="0" applyAlignment="1" applyFont="1">
      <alignment shrinkToFit="0" wrapText="0"/>
    </xf>
    <xf borderId="0" fillId="3" fontId="3" numFmtId="0" xfId="0" applyAlignment="1" applyFont="1">
      <alignment readingOrder="0"/>
    </xf>
    <xf borderId="0" fillId="3" fontId="0" numFmtId="0" xfId="0" applyAlignment="1" applyFont="1">
      <alignment readingOrder="0"/>
    </xf>
    <xf borderId="0" fillId="3" fontId="7" numFmtId="0" xfId="0" applyAlignment="1" applyFont="1">
      <alignment horizontal="center" readingOrder="0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left" readingOrder="0"/>
    </xf>
    <xf borderId="0" fillId="3" fontId="3" numFmtId="164" xfId="0" applyAlignment="1" applyFont="1" applyNumberFormat="1">
      <alignment horizontal="right" readingOrder="0"/>
    </xf>
    <xf borderId="0" fillId="3" fontId="4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3" numFmtId="164" xfId="0" applyAlignment="1" applyFont="1" applyNumberFormat="1">
      <alignment horizontal="left" readingOrder="0"/>
    </xf>
    <xf borderId="0" fillId="3" fontId="3" numFmtId="0" xfId="0" applyAlignment="1" applyFont="1">
      <alignment readingOrder="0"/>
    </xf>
    <xf borderId="1" fillId="2" fontId="1" numFmtId="0" xfId="0" applyAlignment="1" applyBorder="1" applyFont="1">
      <alignment horizontal="center" shrinkToFit="0" vertical="center" wrapText="1"/>
    </xf>
    <xf borderId="0" fillId="4" fontId="8" numFmtId="0" xfId="0" applyAlignment="1" applyFill="1" applyFont="1">
      <alignment horizontal="center"/>
    </xf>
    <xf borderId="0" fillId="0" fontId="9" numFmtId="0" xfId="0" applyAlignment="1" applyFont="1">
      <alignment vertical="bottom"/>
    </xf>
    <xf borderId="0" fillId="5" fontId="10" numFmtId="0" xfId="0" applyAlignment="1" applyFill="1" applyFont="1">
      <alignment horizontal="center" shrinkToFit="0" wrapText="1"/>
    </xf>
    <xf borderId="0" fillId="6" fontId="9" numFmtId="0" xfId="0" applyAlignment="1" applyFill="1" applyFont="1">
      <alignment vertical="bottom"/>
    </xf>
    <xf borderId="0" fillId="6" fontId="9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6" fontId="9" numFmtId="0" xfId="0" applyAlignment="1" applyFont="1">
      <alignment vertical="bottom"/>
    </xf>
    <xf borderId="0" fillId="6" fontId="9" numFmtId="165" xfId="0" applyAlignment="1" applyFont="1" applyNumberFormat="1">
      <alignment horizontal="right" vertical="bottom"/>
    </xf>
    <xf borderId="0" fillId="6" fontId="9" numFmtId="166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9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FARMACIAS POR PROVINCIA</a:t>
            </a:r>
          </a:p>
        </c:rich>
      </c:tx>
      <c:layout>
        <c:manualLayout>
          <c:xMode val="edge"/>
          <c:yMode val="edge"/>
          <c:x val="0.03425"/>
          <c:y val="0.05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Dashboard!$F$3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Dashboard!$E$4:$E$6</c:f>
            </c:strRef>
          </c:cat>
          <c:val>
            <c:numRef>
              <c:f>Dashboard!$F$4:$F$6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PRIORIDAD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Dashboard!$F$9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Dashboard!$E$10:$E$13</c:f>
            </c:strRef>
          </c:cat>
          <c:val>
            <c:numRef>
              <c:f>Dashboard!$F$10:$F$13</c:f>
              <c:numCache/>
            </c:numRef>
          </c:val>
        </c:ser>
        <c:axId val="2057090532"/>
        <c:axId val="1206154387"/>
      </c:barChart>
      <c:catAx>
        <c:axId val="2057090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Prioridad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6154387"/>
      </c:catAx>
      <c:valAx>
        <c:axId val="1206154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70905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EMBUDO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Dashboard!$A$16:$A$22</c:f>
            </c:strRef>
          </c:cat>
          <c:val>
            <c:numRef>
              <c:f>Dashboard!$B$16:$B$22</c:f>
              <c:numCache/>
            </c:numRef>
          </c:val>
        </c:ser>
        <c:axId val="1953229462"/>
        <c:axId val="1598087687"/>
      </c:barChart>
      <c:catAx>
        <c:axId val="1953229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087687"/>
      </c:catAx>
      <c:valAx>
        <c:axId val="15980876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Nº farmacias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32294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504825</xdr:colOff>
      <xdr:row>1</xdr:row>
      <xdr:rowOff>123825</xdr:rowOff>
    </xdr:from>
    <xdr:ext cx="5048250" cy="3143250"/>
    <xdr:graphicFrame>
      <xdr:nvGraphicFramePr>
        <xdr:cNvPr id="36101552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323850</xdr:colOff>
      <xdr:row>1</xdr:row>
      <xdr:rowOff>123825</xdr:rowOff>
    </xdr:from>
    <xdr:ext cx="5048250" cy="3143250"/>
    <xdr:graphicFrame>
      <xdr:nvGraphicFramePr>
        <xdr:cNvPr id="1171849311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504825</xdr:colOff>
      <xdr:row>18</xdr:row>
      <xdr:rowOff>28575</xdr:rowOff>
    </xdr:from>
    <xdr:ext cx="5048250" cy="3143250"/>
    <xdr:graphicFrame>
      <xdr:nvGraphicFramePr>
        <xdr:cNvPr id="227681841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29"/>
    <col customWidth="1" min="2" max="3" width="33.71"/>
    <col customWidth="1" min="4" max="5" width="14.0"/>
    <col customWidth="1" min="6" max="7" width="20.0"/>
    <col customWidth="1" min="8" max="8" width="14.0"/>
    <col customWidth="1" min="9" max="9" width="32.57"/>
    <col customWidth="1" min="10" max="10" width="20.0"/>
    <col customWidth="1" min="11" max="11" width="16.0"/>
    <col customWidth="1" min="12" max="12" width="27.0"/>
    <col customWidth="1" min="13" max="13" width="14.0"/>
    <col customWidth="1" min="14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3">
        <v>46240.0</v>
      </c>
      <c r="F2" s="4" t="s">
        <v>17</v>
      </c>
      <c r="G2" s="4" t="s">
        <v>18</v>
      </c>
      <c r="H2" s="5" t="s">
        <v>19</v>
      </c>
      <c r="I2" s="6" t="s">
        <v>20</v>
      </c>
      <c r="J2" s="4"/>
    </row>
    <row r="3">
      <c r="A3" s="2" t="s">
        <v>21</v>
      </c>
      <c r="B3" s="2" t="s">
        <v>14</v>
      </c>
      <c r="C3" s="2" t="s">
        <v>15</v>
      </c>
      <c r="D3" s="2" t="s">
        <v>22</v>
      </c>
      <c r="E3" s="2">
        <v>1.0</v>
      </c>
      <c r="F3" s="4" t="s">
        <v>17</v>
      </c>
      <c r="G3" s="4" t="s">
        <v>18</v>
      </c>
      <c r="H3" s="6" t="s">
        <v>23</v>
      </c>
      <c r="I3" s="6" t="s">
        <v>24</v>
      </c>
      <c r="J3" s="4"/>
    </row>
    <row r="4">
      <c r="A4" s="2" t="s">
        <v>25</v>
      </c>
      <c r="B4" s="2" t="s">
        <v>14</v>
      </c>
      <c r="C4" s="2" t="s">
        <v>15</v>
      </c>
      <c r="D4" s="2"/>
      <c r="E4" s="2"/>
      <c r="F4" s="4" t="s">
        <v>17</v>
      </c>
      <c r="G4" s="4" t="s">
        <v>18</v>
      </c>
      <c r="H4" s="7" t="s">
        <v>26</v>
      </c>
      <c r="J4" s="4"/>
    </row>
    <row r="5" ht="15.75" customHeight="1">
      <c r="A5" s="2" t="s">
        <v>27</v>
      </c>
      <c r="B5" s="2" t="s">
        <v>14</v>
      </c>
      <c r="C5" s="2" t="s">
        <v>15</v>
      </c>
      <c r="D5" s="2"/>
      <c r="E5" s="2"/>
      <c r="F5" s="4" t="s">
        <v>17</v>
      </c>
      <c r="G5" s="4" t="s">
        <v>18</v>
      </c>
      <c r="H5" s="6" t="s">
        <v>28</v>
      </c>
      <c r="I5" s="8" t="s">
        <v>29</v>
      </c>
      <c r="J5" s="4"/>
    </row>
    <row r="6" ht="15.75" customHeight="1">
      <c r="A6" s="2" t="s">
        <v>30</v>
      </c>
      <c r="B6" s="2" t="s">
        <v>14</v>
      </c>
      <c r="C6" s="2" t="s">
        <v>15</v>
      </c>
      <c r="D6" s="2" t="s">
        <v>16</v>
      </c>
      <c r="E6" s="3">
        <v>46083.0</v>
      </c>
      <c r="F6" s="4" t="s">
        <v>17</v>
      </c>
      <c r="G6" s="4" t="s">
        <v>18</v>
      </c>
      <c r="H6" s="6" t="s">
        <v>31</v>
      </c>
      <c r="I6" s="9"/>
      <c r="J6" s="4"/>
    </row>
    <row r="7" ht="15.75" customHeight="1">
      <c r="A7" s="2" t="s">
        <v>32</v>
      </c>
      <c r="B7" s="2" t="s">
        <v>14</v>
      </c>
      <c r="C7" s="2" t="s">
        <v>15</v>
      </c>
      <c r="D7" s="2" t="s">
        <v>33</v>
      </c>
      <c r="E7" s="2"/>
      <c r="F7" s="4" t="s">
        <v>17</v>
      </c>
      <c r="G7" s="4" t="s">
        <v>18</v>
      </c>
      <c r="H7" s="6" t="s">
        <v>34</v>
      </c>
      <c r="I7" s="8" t="s">
        <v>35</v>
      </c>
      <c r="J7" s="4"/>
    </row>
    <row r="8" ht="15.75" customHeight="1">
      <c r="A8" s="2" t="s">
        <v>36</v>
      </c>
      <c r="B8" s="2" t="s">
        <v>14</v>
      </c>
      <c r="C8" s="2" t="s">
        <v>15</v>
      </c>
      <c r="D8" s="2" t="s">
        <v>33</v>
      </c>
      <c r="E8" s="2"/>
      <c r="F8" s="4" t="s">
        <v>17</v>
      </c>
      <c r="G8" s="4" t="s">
        <v>18</v>
      </c>
      <c r="H8" s="7" t="s">
        <v>37</v>
      </c>
      <c r="I8" s="9"/>
      <c r="J8" s="4"/>
    </row>
    <row r="9" ht="15.75" customHeight="1">
      <c r="A9" s="2" t="s">
        <v>38</v>
      </c>
      <c r="B9" s="2" t="s">
        <v>14</v>
      </c>
      <c r="C9" s="2" t="s">
        <v>15</v>
      </c>
      <c r="D9" s="2" t="s">
        <v>16</v>
      </c>
      <c r="E9" s="3">
        <v>46114.0</v>
      </c>
      <c r="F9" s="4" t="s">
        <v>17</v>
      </c>
      <c r="G9" s="4" t="s">
        <v>18</v>
      </c>
      <c r="H9" s="10"/>
      <c r="I9" s="9"/>
      <c r="J9" s="4"/>
    </row>
    <row r="10" ht="15.75" customHeight="1">
      <c r="A10" s="2" t="s">
        <v>39</v>
      </c>
      <c r="B10" s="2" t="s">
        <v>14</v>
      </c>
      <c r="C10" s="2" t="s">
        <v>40</v>
      </c>
      <c r="D10" s="2"/>
      <c r="E10" s="2"/>
      <c r="F10" s="4" t="s">
        <v>17</v>
      </c>
      <c r="G10" s="4" t="s">
        <v>18</v>
      </c>
      <c r="H10" s="10"/>
      <c r="I10" s="9"/>
      <c r="J10" s="4"/>
    </row>
    <row r="11" ht="15.75" customHeight="1">
      <c r="A11" s="2" t="s">
        <v>41</v>
      </c>
      <c r="B11" s="2" t="s">
        <v>14</v>
      </c>
      <c r="C11" s="2" t="s">
        <v>40</v>
      </c>
      <c r="D11" s="2"/>
      <c r="E11" s="2"/>
      <c r="F11" s="4" t="s">
        <v>17</v>
      </c>
      <c r="G11" s="4" t="s">
        <v>18</v>
      </c>
      <c r="H11" s="10"/>
      <c r="I11" s="9"/>
      <c r="J11" s="4"/>
    </row>
    <row r="12" ht="15.75" customHeight="1">
      <c r="A12" s="2" t="s">
        <v>42</v>
      </c>
      <c r="B12" s="2" t="s">
        <v>14</v>
      </c>
      <c r="C12" s="2" t="s">
        <v>43</v>
      </c>
      <c r="D12" s="2"/>
      <c r="E12" s="2"/>
      <c r="F12" s="4" t="s">
        <v>17</v>
      </c>
      <c r="G12" s="4" t="s">
        <v>18</v>
      </c>
      <c r="H12" s="10"/>
      <c r="I12" s="9"/>
      <c r="J12" s="4"/>
    </row>
    <row r="13" ht="15.75" customHeight="1">
      <c r="A13" s="2" t="s">
        <v>44</v>
      </c>
      <c r="B13" s="2" t="s">
        <v>14</v>
      </c>
      <c r="C13" s="2" t="s">
        <v>43</v>
      </c>
      <c r="D13" s="2" t="s">
        <v>22</v>
      </c>
      <c r="E13" s="3">
        <v>46054.0</v>
      </c>
      <c r="F13" s="4" t="s">
        <v>17</v>
      </c>
      <c r="G13" s="4" t="s">
        <v>18</v>
      </c>
      <c r="H13" s="10"/>
      <c r="I13" s="9"/>
      <c r="J13" s="4"/>
    </row>
    <row r="14" ht="15.75" customHeight="1">
      <c r="A14" s="2" t="s">
        <v>45</v>
      </c>
      <c r="B14" s="2" t="s">
        <v>14</v>
      </c>
      <c r="C14" s="2" t="s">
        <v>43</v>
      </c>
      <c r="D14" s="2"/>
      <c r="E14" s="2"/>
      <c r="F14" s="4" t="s">
        <v>17</v>
      </c>
      <c r="G14" s="4" t="s">
        <v>18</v>
      </c>
      <c r="H14" s="10"/>
      <c r="I14" s="9"/>
      <c r="J14" s="4"/>
    </row>
    <row r="15" ht="15.75" customHeight="1">
      <c r="A15" s="2" t="s">
        <v>46</v>
      </c>
      <c r="B15" s="2" t="s">
        <v>14</v>
      </c>
      <c r="C15" s="2" t="s">
        <v>43</v>
      </c>
      <c r="D15" s="2"/>
      <c r="E15" s="2"/>
      <c r="F15" s="4" t="s">
        <v>17</v>
      </c>
      <c r="G15" s="4" t="s">
        <v>18</v>
      </c>
      <c r="H15" s="10"/>
      <c r="I15" s="9"/>
      <c r="J15" s="4"/>
    </row>
    <row r="16" ht="15.75" customHeight="1">
      <c r="A16" s="2" t="s">
        <v>47</v>
      </c>
      <c r="B16" s="2" t="s">
        <v>14</v>
      </c>
      <c r="C16" s="2" t="s">
        <v>43</v>
      </c>
      <c r="D16" s="2"/>
      <c r="E16" s="2"/>
      <c r="F16" s="4" t="s">
        <v>17</v>
      </c>
      <c r="G16" s="4" t="s">
        <v>18</v>
      </c>
      <c r="H16" s="10"/>
      <c r="I16" s="9"/>
      <c r="J16" s="4"/>
    </row>
    <row r="17" ht="15.75" customHeight="1">
      <c r="A17" s="2" t="s">
        <v>48</v>
      </c>
      <c r="B17" s="2" t="s">
        <v>14</v>
      </c>
      <c r="C17" s="2" t="s">
        <v>43</v>
      </c>
      <c r="D17" s="2" t="s">
        <v>22</v>
      </c>
      <c r="E17" s="2">
        <v>2.0</v>
      </c>
      <c r="F17" s="4" t="s">
        <v>17</v>
      </c>
      <c r="G17" s="4" t="s">
        <v>18</v>
      </c>
      <c r="H17" s="10"/>
      <c r="I17" s="9"/>
      <c r="J17" s="4"/>
    </row>
    <row r="18" ht="15.75" customHeight="1">
      <c r="A18" s="2" t="s">
        <v>49</v>
      </c>
      <c r="B18" s="2" t="s">
        <v>14</v>
      </c>
      <c r="C18" s="2" t="s">
        <v>43</v>
      </c>
      <c r="D18" s="2" t="s">
        <v>33</v>
      </c>
      <c r="E18" s="2">
        <v>2.0</v>
      </c>
      <c r="F18" s="4" t="s">
        <v>17</v>
      </c>
      <c r="G18" s="4" t="s">
        <v>18</v>
      </c>
      <c r="H18" s="10"/>
      <c r="I18" s="9"/>
      <c r="J18" s="4"/>
    </row>
    <row r="19" ht="15.75" customHeight="1">
      <c r="A19" s="2" t="s">
        <v>50</v>
      </c>
      <c r="B19" s="2" t="s">
        <v>14</v>
      </c>
      <c r="C19" s="2" t="s">
        <v>51</v>
      </c>
      <c r="D19" s="2"/>
      <c r="E19" s="2"/>
      <c r="F19" s="4" t="s">
        <v>17</v>
      </c>
      <c r="G19" s="4" t="s">
        <v>18</v>
      </c>
      <c r="H19" s="10"/>
      <c r="I19" s="9"/>
      <c r="J19" s="4"/>
    </row>
    <row r="20" ht="15.75" customHeight="1">
      <c r="A20" s="2" t="s">
        <v>52</v>
      </c>
      <c r="B20" s="2" t="s">
        <v>14</v>
      </c>
      <c r="C20" s="2" t="s">
        <v>51</v>
      </c>
      <c r="D20" s="2" t="s">
        <v>22</v>
      </c>
      <c r="E20" s="2"/>
      <c r="F20" s="4" t="s">
        <v>17</v>
      </c>
      <c r="G20" s="4" t="s">
        <v>18</v>
      </c>
      <c r="H20" s="10"/>
      <c r="I20" s="9"/>
      <c r="J20" s="4"/>
    </row>
    <row r="21" ht="15.75" customHeight="1">
      <c r="A21" s="2" t="s">
        <v>53</v>
      </c>
      <c r="B21" s="2" t="s">
        <v>14</v>
      </c>
      <c r="C21" s="2" t="s">
        <v>51</v>
      </c>
      <c r="D21" s="2" t="s">
        <v>22</v>
      </c>
      <c r="E21" s="3">
        <v>46083.0</v>
      </c>
      <c r="F21" s="4" t="s">
        <v>17</v>
      </c>
      <c r="G21" s="4" t="s">
        <v>18</v>
      </c>
      <c r="H21" s="10"/>
      <c r="I21" s="9"/>
      <c r="J21" s="4"/>
    </row>
    <row r="22" ht="15.75" customHeight="1">
      <c r="A22" s="2" t="s">
        <v>54</v>
      </c>
      <c r="B22" s="2" t="s">
        <v>14</v>
      </c>
      <c r="C22" s="2" t="s">
        <v>51</v>
      </c>
      <c r="D22" s="2"/>
      <c r="E22" s="2"/>
      <c r="F22" s="4" t="s">
        <v>17</v>
      </c>
      <c r="G22" s="4" t="s">
        <v>18</v>
      </c>
      <c r="H22" s="10"/>
      <c r="I22" s="9"/>
      <c r="J22" s="4"/>
    </row>
    <row r="23" ht="15.75" customHeight="1">
      <c r="A23" s="2" t="s">
        <v>55</v>
      </c>
      <c r="B23" s="2" t="s">
        <v>14</v>
      </c>
      <c r="C23" s="2" t="s">
        <v>51</v>
      </c>
      <c r="D23" s="2"/>
      <c r="E23" s="2"/>
      <c r="F23" s="4" t="s">
        <v>17</v>
      </c>
      <c r="G23" s="4" t="s">
        <v>18</v>
      </c>
      <c r="H23" s="10"/>
      <c r="I23" s="9"/>
      <c r="J23" s="4"/>
    </row>
    <row r="24" ht="15.75" customHeight="1">
      <c r="A24" s="2" t="s">
        <v>56</v>
      </c>
      <c r="B24" s="2" t="s">
        <v>14</v>
      </c>
      <c r="C24" s="2" t="s">
        <v>51</v>
      </c>
      <c r="D24" s="2" t="s">
        <v>33</v>
      </c>
      <c r="E24" s="3">
        <v>46114.0</v>
      </c>
      <c r="F24" s="4" t="s">
        <v>17</v>
      </c>
      <c r="G24" s="4" t="s">
        <v>18</v>
      </c>
      <c r="H24" s="10"/>
      <c r="I24" s="9"/>
      <c r="J24" s="4"/>
    </row>
    <row r="25" ht="15.75" customHeight="1">
      <c r="A25" s="2" t="s">
        <v>57</v>
      </c>
      <c r="B25" s="2" t="s">
        <v>14</v>
      </c>
      <c r="C25" s="2" t="s">
        <v>58</v>
      </c>
      <c r="D25" s="2"/>
      <c r="E25" s="2"/>
      <c r="F25" s="4" t="s">
        <v>17</v>
      </c>
      <c r="G25" s="4" t="s">
        <v>18</v>
      </c>
      <c r="H25" s="10"/>
      <c r="I25" s="9"/>
      <c r="J25" s="4"/>
    </row>
    <row r="26" ht="15.75" customHeight="1">
      <c r="A26" s="2" t="s">
        <v>59</v>
      </c>
      <c r="B26" s="2" t="s">
        <v>14</v>
      </c>
      <c r="C26" s="2" t="s">
        <v>58</v>
      </c>
      <c r="D26" s="2"/>
      <c r="E26" s="2"/>
      <c r="F26" s="4" t="s">
        <v>17</v>
      </c>
      <c r="G26" s="4" t="s">
        <v>18</v>
      </c>
      <c r="H26" s="10"/>
      <c r="I26" s="9"/>
      <c r="J26" s="4"/>
    </row>
    <row r="27" ht="15.75" customHeight="1">
      <c r="A27" s="2" t="s">
        <v>60</v>
      </c>
      <c r="B27" s="2" t="s">
        <v>14</v>
      </c>
      <c r="C27" s="2" t="s">
        <v>58</v>
      </c>
      <c r="D27" s="2"/>
      <c r="E27" s="2"/>
      <c r="F27" s="4" t="s">
        <v>17</v>
      </c>
      <c r="G27" s="4" t="s">
        <v>18</v>
      </c>
      <c r="H27" s="10"/>
      <c r="I27" s="9"/>
      <c r="J27" s="4"/>
    </row>
    <row r="28" ht="15.75" customHeight="1">
      <c r="A28" s="2" t="s">
        <v>61</v>
      </c>
      <c r="B28" s="2" t="s">
        <v>14</v>
      </c>
      <c r="C28" s="2" t="s">
        <v>58</v>
      </c>
      <c r="D28" s="2"/>
      <c r="E28" s="2"/>
      <c r="F28" s="4" t="s">
        <v>17</v>
      </c>
      <c r="G28" s="4" t="s">
        <v>18</v>
      </c>
      <c r="H28" s="10"/>
      <c r="I28" s="9"/>
      <c r="J28" s="4"/>
    </row>
    <row r="29" ht="15.75" customHeight="1">
      <c r="A29" s="2" t="s">
        <v>62</v>
      </c>
      <c r="B29" s="2" t="s">
        <v>14</v>
      </c>
      <c r="C29" s="2" t="s">
        <v>58</v>
      </c>
      <c r="D29" s="2"/>
      <c r="E29" s="2"/>
      <c r="F29" s="4" t="s">
        <v>17</v>
      </c>
      <c r="G29" s="4" t="s">
        <v>18</v>
      </c>
      <c r="H29" s="10"/>
      <c r="I29" s="9"/>
      <c r="J29" s="4"/>
    </row>
    <row r="30" ht="15.75" customHeight="1">
      <c r="A30" s="2" t="s">
        <v>63</v>
      </c>
      <c r="B30" s="2" t="s">
        <v>14</v>
      </c>
      <c r="C30" s="2" t="s">
        <v>58</v>
      </c>
      <c r="D30" s="2"/>
      <c r="E30" s="2"/>
      <c r="F30" s="4" t="s">
        <v>17</v>
      </c>
      <c r="G30" s="4" t="s">
        <v>18</v>
      </c>
      <c r="H30" s="10"/>
      <c r="I30" s="9"/>
      <c r="J30" s="4"/>
    </row>
    <row r="31" ht="15.75" customHeight="1">
      <c r="A31" s="2" t="s">
        <v>64</v>
      </c>
      <c r="B31" s="2" t="s">
        <v>14</v>
      </c>
      <c r="C31" s="2" t="s">
        <v>58</v>
      </c>
      <c r="D31" s="2" t="s">
        <v>16</v>
      </c>
      <c r="E31" s="3">
        <v>46177.0</v>
      </c>
      <c r="F31" s="4" t="s">
        <v>17</v>
      </c>
      <c r="G31" s="4" t="s">
        <v>18</v>
      </c>
      <c r="H31" s="10"/>
      <c r="I31" s="9"/>
      <c r="J31" s="4"/>
    </row>
    <row r="32" ht="15.75" customHeight="1">
      <c r="A32" s="2" t="s">
        <v>65</v>
      </c>
      <c r="B32" s="2" t="s">
        <v>14</v>
      </c>
      <c r="C32" s="2" t="s">
        <v>58</v>
      </c>
      <c r="D32" s="2"/>
      <c r="E32" s="2"/>
      <c r="F32" s="4" t="s">
        <v>17</v>
      </c>
      <c r="G32" s="4" t="s">
        <v>18</v>
      </c>
      <c r="H32" s="10"/>
      <c r="I32" s="9"/>
      <c r="J32" s="4"/>
    </row>
    <row r="33" ht="15.75" customHeight="1">
      <c r="A33" s="2" t="s">
        <v>66</v>
      </c>
      <c r="B33" s="2" t="s">
        <v>14</v>
      </c>
      <c r="C33" s="2" t="s">
        <v>58</v>
      </c>
      <c r="D33" s="2"/>
      <c r="E33" s="2"/>
      <c r="F33" s="4" t="s">
        <v>17</v>
      </c>
      <c r="G33" s="4" t="s">
        <v>18</v>
      </c>
      <c r="H33" s="10"/>
      <c r="I33" s="9"/>
      <c r="J33" s="4"/>
    </row>
    <row r="34" ht="15.75" customHeight="1">
      <c r="A34" s="2" t="s">
        <v>67</v>
      </c>
      <c r="B34" s="2" t="s">
        <v>14</v>
      </c>
      <c r="C34" s="2" t="s">
        <v>58</v>
      </c>
      <c r="D34" s="2"/>
      <c r="E34" s="2"/>
      <c r="F34" s="4" t="s">
        <v>17</v>
      </c>
      <c r="G34" s="4" t="s">
        <v>18</v>
      </c>
      <c r="H34" s="10"/>
      <c r="I34" s="9"/>
      <c r="J34" s="4"/>
    </row>
    <row r="35" ht="15.75" customHeight="1">
      <c r="A35" s="2" t="s">
        <v>68</v>
      </c>
      <c r="B35" s="2" t="s">
        <v>14</v>
      </c>
      <c r="C35" s="2" t="s">
        <v>58</v>
      </c>
      <c r="D35" s="2"/>
      <c r="E35" s="2"/>
      <c r="F35" s="4" t="s">
        <v>17</v>
      </c>
      <c r="G35" s="4" t="s">
        <v>18</v>
      </c>
      <c r="H35" s="10"/>
      <c r="I35" s="9"/>
      <c r="J35" s="4"/>
    </row>
    <row r="36" ht="15.75" customHeight="1">
      <c r="A36" s="2" t="s">
        <v>69</v>
      </c>
      <c r="B36" s="2" t="s">
        <v>14</v>
      </c>
      <c r="C36" s="2" t="s">
        <v>58</v>
      </c>
      <c r="D36" s="2"/>
      <c r="E36" s="2"/>
      <c r="F36" s="4" t="s">
        <v>17</v>
      </c>
      <c r="G36" s="4" t="s">
        <v>18</v>
      </c>
      <c r="H36" s="10"/>
      <c r="I36" s="9"/>
      <c r="J36" s="4"/>
    </row>
    <row r="37" ht="15.75" customHeight="1">
      <c r="A37" s="2" t="s">
        <v>70</v>
      </c>
      <c r="B37" s="2" t="s">
        <v>14</v>
      </c>
      <c r="C37" s="2" t="s">
        <v>58</v>
      </c>
      <c r="D37" s="2"/>
      <c r="E37" s="2"/>
      <c r="F37" s="4" t="s">
        <v>17</v>
      </c>
      <c r="G37" s="4" t="s">
        <v>18</v>
      </c>
      <c r="H37" s="10"/>
      <c r="I37" s="9"/>
      <c r="J37" s="4"/>
    </row>
    <row r="38" ht="15.75" customHeight="1">
      <c r="A38" s="2" t="s">
        <v>71</v>
      </c>
      <c r="B38" s="2" t="s">
        <v>14</v>
      </c>
      <c r="C38" s="2" t="s">
        <v>58</v>
      </c>
      <c r="D38" s="2" t="s">
        <v>33</v>
      </c>
      <c r="E38" s="3">
        <v>46114.0</v>
      </c>
      <c r="F38" s="4" t="s">
        <v>17</v>
      </c>
      <c r="G38" s="4" t="s">
        <v>18</v>
      </c>
      <c r="H38" s="10"/>
      <c r="I38" s="9"/>
      <c r="J38" s="4"/>
    </row>
    <row r="39" ht="15.75" customHeight="1">
      <c r="A39" s="2" t="s">
        <v>72</v>
      </c>
      <c r="B39" s="2" t="s">
        <v>14</v>
      </c>
      <c r="C39" s="2" t="s">
        <v>58</v>
      </c>
      <c r="D39" s="2"/>
      <c r="E39" s="2"/>
      <c r="F39" s="4" t="s">
        <v>17</v>
      </c>
      <c r="G39" s="4" t="s">
        <v>18</v>
      </c>
      <c r="H39" s="10"/>
      <c r="I39" s="9"/>
      <c r="J39" s="4"/>
    </row>
    <row r="40" ht="15.75" customHeight="1">
      <c r="A40" s="2" t="s">
        <v>73</v>
      </c>
      <c r="B40" s="2" t="s">
        <v>14</v>
      </c>
      <c r="C40" s="2" t="s">
        <v>58</v>
      </c>
      <c r="D40" s="2" t="s">
        <v>22</v>
      </c>
      <c r="E40" s="3">
        <v>46083.0</v>
      </c>
      <c r="F40" s="4" t="s">
        <v>17</v>
      </c>
      <c r="G40" s="4" t="s">
        <v>18</v>
      </c>
      <c r="H40" s="10"/>
      <c r="I40" s="9"/>
      <c r="J40" s="4"/>
    </row>
    <row r="41" ht="15.75" customHeight="1">
      <c r="A41" s="2" t="s">
        <v>74</v>
      </c>
      <c r="B41" s="2" t="s">
        <v>14</v>
      </c>
      <c r="C41" s="2" t="s">
        <v>58</v>
      </c>
      <c r="D41" s="2"/>
      <c r="E41" s="2"/>
      <c r="F41" s="4" t="s">
        <v>17</v>
      </c>
      <c r="G41" s="4" t="s">
        <v>18</v>
      </c>
      <c r="H41" s="10"/>
      <c r="I41" s="9"/>
      <c r="J41" s="4"/>
    </row>
    <row r="42" ht="15.75" customHeight="1">
      <c r="A42" s="2" t="s">
        <v>75</v>
      </c>
      <c r="B42" s="2" t="s">
        <v>14</v>
      </c>
      <c r="C42" s="2" t="s">
        <v>58</v>
      </c>
      <c r="D42" s="2"/>
      <c r="E42" s="2"/>
      <c r="F42" s="4" t="s">
        <v>17</v>
      </c>
      <c r="G42" s="4" t="s">
        <v>18</v>
      </c>
      <c r="H42" s="10"/>
      <c r="I42" s="9"/>
      <c r="J42" s="4"/>
    </row>
    <row r="43" ht="15.75" customHeight="1">
      <c r="A43" s="2" t="s">
        <v>76</v>
      </c>
      <c r="B43" s="2" t="s">
        <v>14</v>
      </c>
      <c r="C43" s="2" t="s">
        <v>58</v>
      </c>
      <c r="D43" s="2"/>
      <c r="E43" s="2"/>
      <c r="F43" s="4" t="s">
        <v>17</v>
      </c>
      <c r="G43" s="4" t="s">
        <v>18</v>
      </c>
      <c r="H43" s="10"/>
      <c r="I43" s="9"/>
      <c r="J43" s="4"/>
    </row>
    <row r="44" ht="15.75" customHeight="1">
      <c r="A44" s="2" t="s">
        <v>77</v>
      </c>
      <c r="B44" s="2" t="s">
        <v>14</v>
      </c>
      <c r="C44" s="2" t="s">
        <v>58</v>
      </c>
      <c r="D44" s="2"/>
      <c r="E44" s="2"/>
      <c r="F44" s="4" t="s">
        <v>17</v>
      </c>
      <c r="G44" s="4" t="s">
        <v>18</v>
      </c>
      <c r="H44" s="10"/>
      <c r="I44" s="9"/>
      <c r="J44" s="4"/>
    </row>
    <row r="45" ht="15.75" customHeight="1">
      <c r="A45" s="2" t="s">
        <v>78</v>
      </c>
      <c r="B45" s="2" t="s">
        <v>14</v>
      </c>
      <c r="C45" s="2" t="s">
        <v>58</v>
      </c>
      <c r="D45" s="2" t="s">
        <v>22</v>
      </c>
      <c r="E45" s="3">
        <v>46114.0</v>
      </c>
      <c r="F45" s="4" t="s">
        <v>17</v>
      </c>
      <c r="G45" s="4" t="s">
        <v>18</v>
      </c>
      <c r="H45" s="10"/>
      <c r="I45" s="9"/>
      <c r="J45" s="4"/>
    </row>
    <row r="46" ht="15.75" customHeight="1">
      <c r="A46" s="2" t="s">
        <v>79</v>
      </c>
      <c r="B46" s="2" t="s">
        <v>14</v>
      </c>
      <c r="C46" s="2" t="s">
        <v>58</v>
      </c>
      <c r="D46" s="2"/>
      <c r="E46" s="2"/>
      <c r="F46" s="4" t="s">
        <v>17</v>
      </c>
      <c r="G46" s="4" t="s">
        <v>18</v>
      </c>
      <c r="H46" s="10"/>
      <c r="I46" s="9"/>
      <c r="J46" s="4"/>
    </row>
    <row r="47" ht="15.75" customHeight="1">
      <c r="A47" s="2" t="s">
        <v>80</v>
      </c>
      <c r="B47" s="2" t="s">
        <v>14</v>
      </c>
      <c r="C47" s="2" t="s">
        <v>58</v>
      </c>
      <c r="D47" s="2"/>
      <c r="E47" s="2"/>
      <c r="F47" s="4" t="s">
        <v>17</v>
      </c>
      <c r="G47" s="4" t="s">
        <v>18</v>
      </c>
      <c r="H47" s="10"/>
      <c r="I47" s="9"/>
      <c r="J47" s="4"/>
    </row>
    <row r="48" ht="15.75" customHeight="1">
      <c r="A48" s="2" t="s">
        <v>81</v>
      </c>
      <c r="B48" s="2" t="s">
        <v>14</v>
      </c>
      <c r="C48" s="2" t="s">
        <v>58</v>
      </c>
      <c r="D48" s="2"/>
      <c r="E48" s="2"/>
      <c r="F48" s="4" t="s">
        <v>17</v>
      </c>
      <c r="G48" s="4" t="s">
        <v>18</v>
      </c>
      <c r="H48" s="10"/>
      <c r="I48" s="9"/>
      <c r="J48" s="4"/>
    </row>
    <row r="49" ht="15.75" customHeight="1">
      <c r="A49" s="2" t="s">
        <v>82</v>
      </c>
      <c r="B49" s="2" t="s">
        <v>14</v>
      </c>
      <c r="C49" s="2" t="s">
        <v>83</v>
      </c>
      <c r="D49" s="2"/>
      <c r="E49" s="2"/>
      <c r="F49" s="4" t="s">
        <v>17</v>
      </c>
      <c r="G49" s="4" t="s">
        <v>18</v>
      </c>
      <c r="H49" s="10"/>
      <c r="I49" s="9"/>
      <c r="J49" s="4"/>
    </row>
    <row r="50" ht="15.75" customHeight="1">
      <c r="A50" s="2" t="s">
        <v>84</v>
      </c>
      <c r="B50" s="2" t="s">
        <v>14</v>
      </c>
      <c r="C50" s="2" t="s">
        <v>85</v>
      </c>
      <c r="D50" s="2" t="s">
        <v>33</v>
      </c>
      <c r="E50" s="3">
        <v>46083.0</v>
      </c>
      <c r="F50" s="4" t="s">
        <v>17</v>
      </c>
      <c r="G50" s="4" t="s">
        <v>18</v>
      </c>
      <c r="H50" s="10"/>
      <c r="I50" s="9"/>
      <c r="J50" s="4"/>
    </row>
    <row r="51" ht="15.75" customHeight="1">
      <c r="A51" s="2" t="s">
        <v>86</v>
      </c>
      <c r="B51" s="2" t="s">
        <v>14</v>
      </c>
      <c r="C51" s="2" t="s">
        <v>85</v>
      </c>
      <c r="D51" s="2" t="s">
        <v>33</v>
      </c>
      <c r="E51" s="3">
        <v>46115.0</v>
      </c>
      <c r="F51" s="4" t="s">
        <v>17</v>
      </c>
      <c r="G51" s="4" t="s">
        <v>18</v>
      </c>
      <c r="H51" s="10"/>
      <c r="I51" s="9"/>
      <c r="J51" s="4"/>
    </row>
    <row r="52" ht="15.75" customHeight="1">
      <c r="A52" s="2" t="s">
        <v>87</v>
      </c>
      <c r="B52" s="2" t="s">
        <v>14</v>
      </c>
      <c r="C52" s="2" t="s">
        <v>83</v>
      </c>
      <c r="D52" s="2"/>
      <c r="E52" s="2"/>
      <c r="F52" s="4" t="s">
        <v>17</v>
      </c>
      <c r="G52" s="4" t="s">
        <v>18</v>
      </c>
      <c r="H52" s="10"/>
      <c r="I52" s="9"/>
      <c r="J52" s="4"/>
    </row>
    <row r="53" ht="15.75" customHeight="1">
      <c r="A53" s="2" t="s">
        <v>88</v>
      </c>
      <c r="B53" s="2" t="s">
        <v>14</v>
      </c>
      <c r="C53" s="2" t="s">
        <v>83</v>
      </c>
      <c r="D53" s="2"/>
      <c r="E53" s="2"/>
      <c r="F53" s="4" t="s">
        <v>17</v>
      </c>
      <c r="G53" s="4" t="s">
        <v>18</v>
      </c>
      <c r="H53" s="10"/>
      <c r="I53" s="9"/>
      <c r="J53" s="4"/>
    </row>
    <row r="54" ht="15.75" customHeight="1">
      <c r="A54" s="2" t="s">
        <v>89</v>
      </c>
      <c r="B54" s="2" t="s">
        <v>14</v>
      </c>
      <c r="C54" s="2" t="s">
        <v>85</v>
      </c>
      <c r="D54" s="2"/>
      <c r="E54" s="2"/>
      <c r="F54" s="4" t="s">
        <v>17</v>
      </c>
      <c r="G54" s="4" t="s">
        <v>18</v>
      </c>
      <c r="H54" s="10"/>
      <c r="I54" s="9"/>
      <c r="J54" s="4"/>
    </row>
    <row r="55" ht="15.75" customHeight="1">
      <c r="A55" s="2" t="s">
        <v>90</v>
      </c>
      <c r="B55" s="2" t="s">
        <v>14</v>
      </c>
      <c r="C55" s="2" t="s">
        <v>91</v>
      </c>
      <c r="D55" s="2" t="s">
        <v>33</v>
      </c>
      <c r="E55" s="2">
        <v>2.0</v>
      </c>
      <c r="F55" s="4" t="s">
        <v>17</v>
      </c>
      <c r="G55" s="4" t="s">
        <v>18</v>
      </c>
      <c r="H55" s="10"/>
      <c r="I55" s="9"/>
      <c r="J55" s="4"/>
    </row>
    <row r="56" ht="15.75" customHeight="1">
      <c r="A56" s="2" t="s">
        <v>92</v>
      </c>
      <c r="B56" s="2" t="s">
        <v>14</v>
      </c>
      <c r="C56" s="2" t="s">
        <v>91</v>
      </c>
      <c r="D56" s="2"/>
      <c r="E56" s="2"/>
      <c r="F56" s="4" t="s">
        <v>17</v>
      </c>
      <c r="G56" s="4" t="s">
        <v>18</v>
      </c>
      <c r="H56" s="10"/>
      <c r="I56" s="9"/>
      <c r="J56" s="4"/>
    </row>
    <row r="57" ht="15.75" customHeight="1">
      <c r="A57" s="2" t="s">
        <v>93</v>
      </c>
      <c r="B57" s="2" t="s">
        <v>14</v>
      </c>
      <c r="C57" s="2" t="s">
        <v>91</v>
      </c>
      <c r="D57" s="2" t="s">
        <v>22</v>
      </c>
      <c r="E57" s="3">
        <v>46083.0</v>
      </c>
      <c r="F57" s="4" t="s">
        <v>17</v>
      </c>
      <c r="G57" s="4" t="s">
        <v>18</v>
      </c>
      <c r="H57" s="10"/>
      <c r="I57" s="9"/>
      <c r="J57" s="4"/>
    </row>
    <row r="58" ht="15.75" customHeight="1">
      <c r="A58" s="2" t="s">
        <v>94</v>
      </c>
      <c r="B58" s="2" t="s">
        <v>14</v>
      </c>
      <c r="C58" s="2" t="s">
        <v>91</v>
      </c>
      <c r="D58" s="2" t="s">
        <v>16</v>
      </c>
      <c r="E58" s="3">
        <v>46083.0</v>
      </c>
      <c r="F58" s="4" t="s">
        <v>17</v>
      </c>
      <c r="G58" s="4" t="s">
        <v>18</v>
      </c>
      <c r="H58" s="10"/>
      <c r="I58" s="9"/>
      <c r="J58" s="4"/>
    </row>
    <row r="59" ht="15.75" customHeight="1">
      <c r="A59" s="2" t="s">
        <v>95</v>
      </c>
      <c r="B59" s="2" t="s">
        <v>14</v>
      </c>
      <c r="C59" s="2" t="s">
        <v>91</v>
      </c>
      <c r="D59" s="2" t="s">
        <v>16</v>
      </c>
      <c r="E59" s="2"/>
      <c r="F59" s="4" t="s">
        <v>17</v>
      </c>
      <c r="G59" s="4" t="s">
        <v>18</v>
      </c>
      <c r="H59" s="10"/>
      <c r="I59" s="9"/>
      <c r="J59" s="4"/>
    </row>
    <row r="60" ht="15.75" customHeight="1">
      <c r="A60" s="2" t="s">
        <v>96</v>
      </c>
      <c r="B60" s="2" t="s">
        <v>14</v>
      </c>
      <c r="C60" s="2" t="s">
        <v>91</v>
      </c>
      <c r="D60" s="2"/>
      <c r="E60" s="2"/>
      <c r="F60" s="4" t="s">
        <v>17</v>
      </c>
      <c r="G60" s="4" t="s">
        <v>18</v>
      </c>
      <c r="H60" s="10"/>
      <c r="I60" s="9"/>
      <c r="J60" s="4"/>
    </row>
    <row r="61" ht="15.75" customHeight="1">
      <c r="A61" s="2" t="s">
        <v>97</v>
      </c>
      <c r="B61" s="2" t="s">
        <v>14</v>
      </c>
      <c r="C61" s="2" t="s">
        <v>91</v>
      </c>
      <c r="D61" s="2"/>
      <c r="E61" s="2"/>
      <c r="F61" s="4" t="s">
        <v>17</v>
      </c>
      <c r="G61" s="4" t="s">
        <v>18</v>
      </c>
      <c r="H61" s="10"/>
      <c r="I61" s="9"/>
      <c r="J61" s="4"/>
    </row>
    <row r="62" ht="15.75" customHeight="1">
      <c r="A62" s="2" t="s">
        <v>98</v>
      </c>
      <c r="B62" s="2" t="s">
        <v>14</v>
      </c>
      <c r="C62" s="2" t="s">
        <v>91</v>
      </c>
      <c r="D62" s="2"/>
      <c r="E62" s="2"/>
      <c r="F62" s="4" t="s">
        <v>17</v>
      </c>
      <c r="G62" s="4" t="s">
        <v>18</v>
      </c>
      <c r="H62" s="10"/>
      <c r="I62" s="9"/>
      <c r="J62" s="4"/>
    </row>
    <row r="63" ht="15.75" customHeight="1">
      <c r="A63" s="2" t="s">
        <v>99</v>
      </c>
      <c r="B63" s="2" t="s">
        <v>14</v>
      </c>
      <c r="C63" s="2" t="s">
        <v>91</v>
      </c>
      <c r="D63" s="2"/>
      <c r="E63" s="2"/>
      <c r="F63" s="4" t="s">
        <v>17</v>
      </c>
      <c r="G63" s="4" t="s">
        <v>18</v>
      </c>
      <c r="H63" s="10"/>
      <c r="I63" s="9"/>
      <c r="J63" s="4"/>
    </row>
    <row r="64" ht="15.75" customHeight="1">
      <c r="A64" s="2" t="s">
        <v>100</v>
      </c>
      <c r="B64" s="2" t="s">
        <v>14</v>
      </c>
      <c r="C64" s="2" t="s">
        <v>101</v>
      </c>
      <c r="D64" s="2" t="s">
        <v>16</v>
      </c>
      <c r="E64" s="3">
        <v>46115.0</v>
      </c>
      <c r="F64" s="4" t="s">
        <v>17</v>
      </c>
      <c r="G64" s="4" t="s">
        <v>18</v>
      </c>
      <c r="H64" s="10"/>
      <c r="I64" s="9"/>
      <c r="J64" s="4"/>
    </row>
    <row r="65" ht="15.75" customHeight="1">
      <c r="A65" s="2" t="s">
        <v>102</v>
      </c>
      <c r="B65" s="2" t="s">
        <v>14</v>
      </c>
      <c r="C65" s="2" t="s">
        <v>101</v>
      </c>
      <c r="D65" s="2" t="s">
        <v>22</v>
      </c>
      <c r="E65" s="2"/>
      <c r="F65" s="4" t="s">
        <v>17</v>
      </c>
      <c r="G65" s="4" t="s">
        <v>18</v>
      </c>
      <c r="H65" s="10"/>
      <c r="I65" s="9"/>
      <c r="J65" s="4"/>
    </row>
    <row r="66" ht="15.75" customHeight="1">
      <c r="A66" s="2" t="s">
        <v>103</v>
      </c>
      <c r="B66" s="2" t="s">
        <v>14</v>
      </c>
      <c r="C66" s="2" t="s">
        <v>101</v>
      </c>
      <c r="D66" s="2" t="s">
        <v>22</v>
      </c>
      <c r="E66" s="3">
        <v>46054.0</v>
      </c>
      <c r="F66" s="4" t="s">
        <v>17</v>
      </c>
      <c r="G66" s="4" t="s">
        <v>18</v>
      </c>
      <c r="H66" s="10"/>
      <c r="I66" s="9"/>
      <c r="J66" s="4"/>
    </row>
    <row r="67" ht="15.75" customHeight="1">
      <c r="A67" s="2" t="s">
        <v>104</v>
      </c>
      <c r="B67" s="2" t="s">
        <v>14</v>
      </c>
      <c r="C67" s="2" t="s">
        <v>101</v>
      </c>
      <c r="D67" s="2" t="s">
        <v>33</v>
      </c>
      <c r="E67" s="2">
        <v>2.0</v>
      </c>
      <c r="F67" s="4" t="s">
        <v>17</v>
      </c>
      <c r="G67" s="4" t="s">
        <v>18</v>
      </c>
      <c r="H67" s="10"/>
      <c r="I67" s="9"/>
      <c r="J67" s="4"/>
    </row>
    <row r="68" ht="15.75" customHeight="1">
      <c r="A68" s="2" t="s">
        <v>105</v>
      </c>
      <c r="B68" s="2" t="s">
        <v>14</v>
      </c>
      <c r="C68" s="2" t="s">
        <v>101</v>
      </c>
      <c r="D68" s="2" t="s">
        <v>22</v>
      </c>
      <c r="E68" s="3">
        <v>46083.0</v>
      </c>
      <c r="F68" s="4" t="s">
        <v>17</v>
      </c>
      <c r="G68" s="4" t="s">
        <v>18</v>
      </c>
      <c r="H68" s="10"/>
      <c r="I68" s="9"/>
      <c r="J68" s="4"/>
    </row>
    <row r="69" ht="15.75" customHeight="1">
      <c r="A69" s="2" t="s">
        <v>106</v>
      </c>
      <c r="B69" s="2" t="s">
        <v>14</v>
      </c>
      <c r="C69" s="2" t="s">
        <v>101</v>
      </c>
      <c r="D69" s="2"/>
      <c r="E69" s="2"/>
      <c r="F69" s="4" t="s">
        <v>17</v>
      </c>
      <c r="G69" s="4" t="s">
        <v>18</v>
      </c>
      <c r="H69" s="10"/>
      <c r="I69" s="9"/>
      <c r="J69" s="4"/>
    </row>
    <row r="70" ht="15.75" customHeight="1">
      <c r="A70" s="2" t="s">
        <v>107</v>
      </c>
      <c r="B70" s="2" t="s">
        <v>14</v>
      </c>
      <c r="C70" s="2" t="s">
        <v>101</v>
      </c>
      <c r="D70" s="2"/>
      <c r="E70" s="2"/>
      <c r="F70" s="4" t="s">
        <v>17</v>
      </c>
      <c r="G70" s="4" t="s">
        <v>18</v>
      </c>
      <c r="H70" s="10"/>
      <c r="I70" s="9"/>
      <c r="J70" s="4"/>
    </row>
    <row r="71" ht="15.75" customHeight="1">
      <c r="A71" s="2" t="s">
        <v>108</v>
      </c>
      <c r="B71" s="2" t="s">
        <v>14</v>
      </c>
      <c r="C71" s="2" t="s">
        <v>101</v>
      </c>
      <c r="D71" s="2"/>
      <c r="E71" s="2"/>
      <c r="F71" s="4" t="s">
        <v>17</v>
      </c>
      <c r="G71" s="4" t="s">
        <v>18</v>
      </c>
      <c r="H71" s="10"/>
      <c r="I71" s="9"/>
      <c r="J71" s="4"/>
    </row>
    <row r="72" ht="15.75" customHeight="1">
      <c r="A72" s="2" t="s">
        <v>109</v>
      </c>
      <c r="B72" s="2" t="s">
        <v>14</v>
      </c>
      <c r="C72" s="2" t="s">
        <v>101</v>
      </c>
      <c r="D72" s="2"/>
      <c r="E72" s="2"/>
      <c r="F72" s="4" t="s">
        <v>17</v>
      </c>
      <c r="G72" s="4" t="s">
        <v>18</v>
      </c>
      <c r="H72" s="10"/>
      <c r="I72" s="9"/>
      <c r="J72" s="4"/>
    </row>
    <row r="73" ht="15.75" customHeight="1">
      <c r="A73" s="2" t="s">
        <v>110</v>
      </c>
      <c r="B73" s="2" t="s">
        <v>14</v>
      </c>
      <c r="C73" s="2" t="s">
        <v>111</v>
      </c>
      <c r="D73" s="2"/>
      <c r="E73" s="2"/>
      <c r="F73" s="4" t="s">
        <v>17</v>
      </c>
      <c r="G73" s="4" t="s">
        <v>18</v>
      </c>
      <c r="H73" s="10"/>
      <c r="I73" s="9"/>
      <c r="J73" s="4"/>
    </row>
    <row r="74" ht="15.75" customHeight="1">
      <c r="A74" s="2" t="s">
        <v>112</v>
      </c>
      <c r="B74" s="2" t="s">
        <v>14</v>
      </c>
      <c r="C74" s="2" t="s">
        <v>111</v>
      </c>
      <c r="D74" s="2"/>
      <c r="E74" s="2"/>
      <c r="F74" s="4" t="s">
        <v>17</v>
      </c>
      <c r="G74" s="4" t="s">
        <v>18</v>
      </c>
      <c r="H74" s="10"/>
      <c r="I74" s="9"/>
      <c r="J74" s="4"/>
    </row>
    <row r="75" ht="15.75" customHeight="1">
      <c r="A75" s="2" t="s">
        <v>113</v>
      </c>
      <c r="B75" s="2" t="s">
        <v>14</v>
      </c>
      <c r="C75" s="2" t="s">
        <v>111</v>
      </c>
      <c r="D75" s="2"/>
      <c r="E75" s="2"/>
      <c r="F75" s="4" t="s">
        <v>17</v>
      </c>
      <c r="G75" s="4" t="s">
        <v>18</v>
      </c>
      <c r="H75" s="10"/>
      <c r="I75" s="9"/>
      <c r="J75" s="4"/>
    </row>
    <row r="76" ht="15.75" customHeight="1">
      <c r="A76" s="2" t="s">
        <v>114</v>
      </c>
      <c r="B76" s="2" t="s">
        <v>14</v>
      </c>
      <c r="C76" s="2" t="s">
        <v>111</v>
      </c>
      <c r="D76" s="2"/>
      <c r="E76" s="2"/>
      <c r="F76" s="4" t="s">
        <v>17</v>
      </c>
      <c r="G76" s="4" t="s">
        <v>18</v>
      </c>
      <c r="H76" s="10"/>
      <c r="I76" s="9"/>
      <c r="J76" s="4"/>
    </row>
    <row r="77" ht="15.75" customHeight="1">
      <c r="A77" s="2" t="s">
        <v>115</v>
      </c>
      <c r="B77" s="2" t="s">
        <v>14</v>
      </c>
      <c r="C77" s="2" t="s">
        <v>111</v>
      </c>
      <c r="D77" s="2" t="s">
        <v>33</v>
      </c>
      <c r="E77" s="3">
        <v>46115.0</v>
      </c>
      <c r="F77" s="4" t="s">
        <v>17</v>
      </c>
      <c r="G77" s="4" t="s">
        <v>18</v>
      </c>
      <c r="H77" s="10"/>
      <c r="I77" s="9"/>
      <c r="J77" s="4"/>
    </row>
    <row r="78" ht="15.75" customHeight="1">
      <c r="A78" s="2" t="s">
        <v>116</v>
      </c>
      <c r="B78" s="2" t="s">
        <v>14</v>
      </c>
      <c r="C78" s="2" t="s">
        <v>111</v>
      </c>
      <c r="D78" s="2"/>
      <c r="E78" s="2"/>
      <c r="F78" s="4" t="s">
        <v>17</v>
      </c>
      <c r="G78" s="4" t="s">
        <v>18</v>
      </c>
      <c r="H78" s="10"/>
      <c r="I78" s="9"/>
      <c r="J78" s="4"/>
    </row>
    <row r="79" ht="15.75" customHeight="1">
      <c r="A79" s="2" t="s">
        <v>117</v>
      </c>
      <c r="B79" s="2" t="s">
        <v>14</v>
      </c>
      <c r="C79" s="2" t="s">
        <v>111</v>
      </c>
      <c r="D79" s="2" t="s">
        <v>16</v>
      </c>
      <c r="E79" s="3">
        <v>46177.0</v>
      </c>
      <c r="F79" s="4" t="s">
        <v>17</v>
      </c>
      <c r="G79" s="4" t="s">
        <v>18</v>
      </c>
      <c r="H79" s="10"/>
      <c r="I79" s="9"/>
      <c r="J79" s="4"/>
    </row>
    <row r="80" ht="15.75" customHeight="1">
      <c r="A80" s="2" t="s">
        <v>118</v>
      </c>
      <c r="B80" s="2" t="s">
        <v>14</v>
      </c>
      <c r="C80" s="2" t="s">
        <v>111</v>
      </c>
      <c r="D80" s="2"/>
      <c r="E80" s="2"/>
      <c r="F80" s="4" t="s">
        <v>17</v>
      </c>
      <c r="G80" s="4" t="s">
        <v>18</v>
      </c>
      <c r="H80" s="10"/>
      <c r="I80" s="9"/>
      <c r="J80" s="4"/>
    </row>
    <row r="81" ht="15.75" customHeight="1">
      <c r="A81" s="2" t="s">
        <v>119</v>
      </c>
      <c r="B81" s="2" t="s">
        <v>14</v>
      </c>
      <c r="C81" s="2" t="s">
        <v>111</v>
      </c>
      <c r="D81" s="2" t="s">
        <v>22</v>
      </c>
      <c r="E81" s="2"/>
      <c r="F81" s="4" t="s">
        <v>17</v>
      </c>
      <c r="G81" s="4" t="s">
        <v>18</v>
      </c>
      <c r="H81" s="10"/>
      <c r="I81" s="9"/>
      <c r="J81" s="4"/>
    </row>
    <row r="82" ht="15.75" customHeight="1">
      <c r="A82" s="2" t="s">
        <v>120</v>
      </c>
      <c r="B82" s="2" t="s">
        <v>14</v>
      </c>
      <c r="C82" s="2" t="s">
        <v>111</v>
      </c>
      <c r="D82" s="2" t="s">
        <v>22</v>
      </c>
      <c r="E82" s="3">
        <v>46083.0</v>
      </c>
      <c r="F82" s="4" t="s">
        <v>17</v>
      </c>
      <c r="G82" s="4" t="s">
        <v>18</v>
      </c>
      <c r="H82" s="10"/>
      <c r="I82" s="9"/>
      <c r="J82" s="4"/>
    </row>
    <row r="83" ht="15.75" customHeight="1">
      <c r="A83" s="2" t="s">
        <v>121</v>
      </c>
      <c r="B83" s="2" t="s">
        <v>14</v>
      </c>
      <c r="C83" s="2" t="s">
        <v>122</v>
      </c>
      <c r="D83" s="2" t="s">
        <v>22</v>
      </c>
      <c r="E83" s="11" t="s">
        <v>123</v>
      </c>
      <c r="F83" s="4" t="s">
        <v>17</v>
      </c>
      <c r="G83" s="4" t="s">
        <v>18</v>
      </c>
      <c r="H83" s="10"/>
      <c r="I83" s="9"/>
      <c r="J83" s="4"/>
    </row>
    <row r="84" ht="15.75" customHeight="1">
      <c r="A84" s="2" t="s">
        <v>124</v>
      </c>
      <c r="B84" s="2" t="s">
        <v>14</v>
      </c>
      <c r="C84" s="2" t="s">
        <v>122</v>
      </c>
      <c r="D84" s="2"/>
      <c r="E84" s="2"/>
      <c r="F84" s="4" t="s">
        <v>17</v>
      </c>
      <c r="G84" s="4" t="s">
        <v>18</v>
      </c>
      <c r="H84" s="10"/>
      <c r="I84" s="9"/>
      <c r="J84" s="4"/>
    </row>
    <row r="85" ht="15.75" customHeight="1">
      <c r="A85" s="2" t="s">
        <v>125</v>
      </c>
      <c r="B85" s="2" t="s">
        <v>14</v>
      </c>
      <c r="C85" s="2" t="s">
        <v>122</v>
      </c>
      <c r="D85" s="2"/>
      <c r="E85" s="2"/>
      <c r="F85" s="4" t="s">
        <v>17</v>
      </c>
      <c r="G85" s="4" t="s">
        <v>18</v>
      </c>
      <c r="H85" s="10"/>
      <c r="I85" s="9"/>
      <c r="J85" s="4"/>
    </row>
    <row r="86" ht="15.75" customHeight="1">
      <c r="A86" s="2" t="s">
        <v>126</v>
      </c>
      <c r="B86" s="2" t="s">
        <v>14</v>
      </c>
      <c r="C86" s="2" t="s">
        <v>122</v>
      </c>
      <c r="D86" s="2"/>
      <c r="E86" s="2"/>
      <c r="F86" s="4" t="s">
        <v>17</v>
      </c>
      <c r="G86" s="4" t="s">
        <v>18</v>
      </c>
      <c r="H86" s="10"/>
      <c r="I86" s="9"/>
      <c r="J86" s="4"/>
    </row>
    <row r="87" ht="15.75" customHeight="1">
      <c r="A87" s="2" t="s">
        <v>127</v>
      </c>
      <c r="B87" s="2" t="s">
        <v>14</v>
      </c>
      <c r="C87" s="2" t="s">
        <v>122</v>
      </c>
      <c r="D87" s="2"/>
      <c r="E87" s="2"/>
      <c r="F87" s="4" t="s">
        <v>17</v>
      </c>
      <c r="G87" s="4" t="s">
        <v>18</v>
      </c>
      <c r="H87" s="10"/>
      <c r="I87" s="9"/>
      <c r="J87" s="4"/>
    </row>
    <row r="88" ht="15.75" customHeight="1">
      <c r="A88" s="2" t="s">
        <v>128</v>
      </c>
      <c r="B88" s="2" t="s">
        <v>14</v>
      </c>
      <c r="C88" s="2" t="s">
        <v>122</v>
      </c>
      <c r="D88" s="2"/>
      <c r="E88" s="2"/>
      <c r="F88" s="4" t="s">
        <v>17</v>
      </c>
      <c r="G88" s="4" t="s">
        <v>18</v>
      </c>
      <c r="H88" s="10"/>
      <c r="I88" s="9"/>
      <c r="J88" s="4"/>
    </row>
    <row r="89" ht="15.75" customHeight="1">
      <c r="A89" s="2" t="s">
        <v>129</v>
      </c>
      <c r="B89" s="2" t="s">
        <v>14</v>
      </c>
      <c r="C89" s="2" t="s">
        <v>122</v>
      </c>
      <c r="D89" s="2"/>
      <c r="E89" s="3">
        <v>46177.0</v>
      </c>
      <c r="F89" s="4" t="s">
        <v>17</v>
      </c>
      <c r="G89" s="4" t="s">
        <v>18</v>
      </c>
      <c r="H89" s="10"/>
      <c r="I89" s="9"/>
      <c r="J89" s="4"/>
    </row>
    <row r="90" ht="15.75" customHeight="1">
      <c r="A90" s="2" t="s">
        <v>130</v>
      </c>
      <c r="B90" s="2" t="s">
        <v>14</v>
      </c>
      <c r="C90" s="2" t="s">
        <v>122</v>
      </c>
      <c r="D90" s="2"/>
      <c r="E90" s="2"/>
      <c r="F90" s="4" t="s">
        <v>17</v>
      </c>
      <c r="G90" s="4" t="s">
        <v>18</v>
      </c>
      <c r="H90" s="10"/>
      <c r="I90" s="9"/>
      <c r="J90" s="4"/>
    </row>
    <row r="91" ht="15.75" customHeight="1">
      <c r="A91" s="2" t="s">
        <v>131</v>
      </c>
      <c r="B91" s="2" t="s">
        <v>14</v>
      </c>
      <c r="C91" s="2" t="s">
        <v>122</v>
      </c>
      <c r="D91" s="2" t="s">
        <v>16</v>
      </c>
      <c r="E91" s="3">
        <v>46145.0</v>
      </c>
      <c r="F91" s="4" t="s">
        <v>17</v>
      </c>
      <c r="G91" s="4" t="s">
        <v>18</v>
      </c>
      <c r="H91" s="10"/>
      <c r="I91" s="9"/>
      <c r="J91" s="4"/>
    </row>
    <row r="92" ht="15.75" customHeight="1">
      <c r="A92" s="2" t="s">
        <v>132</v>
      </c>
      <c r="B92" s="2" t="s">
        <v>14</v>
      </c>
      <c r="C92" s="2" t="s">
        <v>122</v>
      </c>
      <c r="D92" s="2"/>
      <c r="E92" s="2"/>
      <c r="F92" s="4" t="s">
        <v>17</v>
      </c>
      <c r="G92" s="4" t="s">
        <v>18</v>
      </c>
      <c r="H92" s="10"/>
      <c r="I92" s="9"/>
      <c r="J92" s="4"/>
    </row>
    <row r="93" ht="15.75" customHeight="1">
      <c r="A93" s="2" t="s">
        <v>133</v>
      </c>
      <c r="B93" s="2" t="s">
        <v>14</v>
      </c>
      <c r="C93" s="2" t="s">
        <v>134</v>
      </c>
      <c r="D93" s="2"/>
      <c r="E93" s="2"/>
      <c r="F93" s="4" t="s">
        <v>17</v>
      </c>
      <c r="G93" s="4" t="s">
        <v>18</v>
      </c>
      <c r="H93" s="10"/>
      <c r="I93" s="9"/>
      <c r="J93" s="4"/>
    </row>
    <row r="94" ht="15.75" customHeight="1">
      <c r="A94" s="2" t="s">
        <v>135</v>
      </c>
      <c r="B94" s="2" t="s">
        <v>14</v>
      </c>
      <c r="C94" s="2" t="s">
        <v>134</v>
      </c>
      <c r="D94" s="2"/>
      <c r="E94" s="2"/>
      <c r="F94" s="4" t="s">
        <v>17</v>
      </c>
      <c r="G94" s="4" t="s">
        <v>18</v>
      </c>
      <c r="H94" s="10"/>
      <c r="I94" s="9"/>
      <c r="J94" s="4"/>
    </row>
    <row r="95" ht="15.75" customHeight="1">
      <c r="A95" s="2" t="s">
        <v>136</v>
      </c>
      <c r="B95" s="2" t="s">
        <v>14</v>
      </c>
      <c r="C95" s="2" t="s">
        <v>134</v>
      </c>
      <c r="D95" s="2"/>
      <c r="E95" s="3">
        <v>46083.0</v>
      </c>
      <c r="F95" s="4" t="s">
        <v>17</v>
      </c>
      <c r="G95" s="4" t="s">
        <v>18</v>
      </c>
      <c r="H95" s="10"/>
      <c r="I95" s="9"/>
      <c r="J95" s="4"/>
    </row>
    <row r="96" ht="15.75" customHeight="1">
      <c r="A96" s="2" t="s">
        <v>137</v>
      </c>
      <c r="B96" s="2" t="s">
        <v>14</v>
      </c>
      <c r="C96" s="2" t="s">
        <v>134</v>
      </c>
      <c r="D96" s="2"/>
      <c r="E96" s="2"/>
      <c r="F96" s="4" t="s">
        <v>17</v>
      </c>
      <c r="G96" s="4" t="s">
        <v>18</v>
      </c>
      <c r="H96" s="10"/>
      <c r="I96" s="9"/>
      <c r="J96" s="4"/>
    </row>
    <row r="97" ht="15.75" customHeight="1">
      <c r="A97" s="2" t="s">
        <v>138</v>
      </c>
      <c r="B97" s="2" t="s">
        <v>14</v>
      </c>
      <c r="C97" s="2" t="s">
        <v>134</v>
      </c>
      <c r="D97" s="2" t="s">
        <v>33</v>
      </c>
      <c r="E97" s="3">
        <v>46083.0</v>
      </c>
      <c r="F97" s="4" t="s">
        <v>17</v>
      </c>
      <c r="G97" s="4" t="s">
        <v>18</v>
      </c>
      <c r="H97" s="10"/>
      <c r="I97" s="9"/>
      <c r="J97" s="4"/>
    </row>
    <row r="98" ht="15.75" customHeight="1">
      <c r="A98" s="2" t="s">
        <v>139</v>
      </c>
      <c r="B98" s="2" t="s">
        <v>14</v>
      </c>
      <c r="C98" s="2" t="s">
        <v>134</v>
      </c>
      <c r="D98" s="2"/>
      <c r="E98" s="2"/>
      <c r="F98" s="4" t="s">
        <v>17</v>
      </c>
      <c r="G98" s="4" t="s">
        <v>18</v>
      </c>
      <c r="H98" s="10"/>
      <c r="I98" s="9"/>
      <c r="J98" s="4"/>
    </row>
    <row r="99" ht="15.75" customHeight="1">
      <c r="A99" s="2" t="s">
        <v>140</v>
      </c>
      <c r="B99" s="2" t="s">
        <v>14</v>
      </c>
      <c r="C99" s="2" t="s">
        <v>134</v>
      </c>
      <c r="D99" s="2" t="s">
        <v>22</v>
      </c>
      <c r="E99" s="3">
        <v>46083.0</v>
      </c>
      <c r="F99" s="4" t="s">
        <v>17</v>
      </c>
      <c r="G99" s="4" t="s">
        <v>18</v>
      </c>
      <c r="H99" s="10"/>
      <c r="I99" s="9"/>
      <c r="J99" s="4"/>
    </row>
    <row r="100" ht="15.75" customHeight="1">
      <c r="A100" s="2" t="s">
        <v>141</v>
      </c>
      <c r="B100" s="2" t="s">
        <v>14</v>
      </c>
      <c r="C100" s="2" t="s">
        <v>142</v>
      </c>
      <c r="D100" s="2" t="s">
        <v>22</v>
      </c>
      <c r="E100" s="3">
        <v>46115.0</v>
      </c>
      <c r="F100" s="4" t="s">
        <v>17</v>
      </c>
      <c r="G100" s="4" t="s">
        <v>18</v>
      </c>
      <c r="H100" s="10"/>
      <c r="I100" s="9"/>
      <c r="J100" s="4"/>
    </row>
    <row r="101" ht="15.75" customHeight="1">
      <c r="A101" s="2" t="s">
        <v>143</v>
      </c>
      <c r="B101" s="2" t="s">
        <v>14</v>
      </c>
      <c r="C101" s="2" t="s">
        <v>142</v>
      </c>
      <c r="D101" s="2"/>
      <c r="E101" s="2"/>
      <c r="F101" s="4" t="s">
        <v>17</v>
      </c>
      <c r="G101" s="4" t="s">
        <v>18</v>
      </c>
      <c r="H101" s="10"/>
      <c r="I101" s="9"/>
      <c r="J101" s="4"/>
    </row>
    <row r="102" ht="15.75" customHeight="1">
      <c r="A102" s="2" t="s">
        <v>144</v>
      </c>
      <c r="B102" s="2" t="s">
        <v>14</v>
      </c>
      <c r="C102" s="2" t="s">
        <v>142</v>
      </c>
      <c r="D102" s="2" t="s">
        <v>22</v>
      </c>
      <c r="E102" s="3">
        <v>46207.0</v>
      </c>
      <c r="F102" s="4" t="s">
        <v>17</v>
      </c>
      <c r="G102" s="4" t="s">
        <v>18</v>
      </c>
      <c r="H102" s="10"/>
      <c r="I102" s="9"/>
      <c r="J102" s="4"/>
    </row>
    <row r="103" ht="15.75" customHeight="1">
      <c r="A103" s="2" t="s">
        <v>145</v>
      </c>
      <c r="B103" s="2" t="s">
        <v>14</v>
      </c>
      <c r="C103" s="2" t="s">
        <v>142</v>
      </c>
      <c r="D103" s="2" t="s">
        <v>33</v>
      </c>
      <c r="E103" s="2"/>
      <c r="F103" s="4" t="s">
        <v>17</v>
      </c>
      <c r="G103" s="4" t="s">
        <v>18</v>
      </c>
      <c r="H103" s="10"/>
      <c r="I103" s="9"/>
      <c r="J103" s="4"/>
    </row>
    <row r="104" ht="15.75" customHeight="1">
      <c r="A104" s="2" t="s">
        <v>146</v>
      </c>
      <c r="B104" s="2" t="s">
        <v>14</v>
      </c>
      <c r="C104" s="2" t="s">
        <v>147</v>
      </c>
      <c r="D104" s="2"/>
      <c r="E104" s="2"/>
      <c r="F104" s="4" t="s">
        <v>17</v>
      </c>
      <c r="G104" s="4" t="s">
        <v>18</v>
      </c>
      <c r="H104" s="10"/>
      <c r="I104" s="9"/>
      <c r="J104" s="4"/>
    </row>
    <row r="105" ht="15.75" customHeight="1">
      <c r="A105" s="2" t="s">
        <v>148</v>
      </c>
      <c r="B105" s="2" t="s">
        <v>14</v>
      </c>
      <c r="C105" s="2" t="s">
        <v>147</v>
      </c>
      <c r="D105" s="2" t="s">
        <v>16</v>
      </c>
      <c r="E105" s="2"/>
      <c r="F105" s="4" t="s">
        <v>17</v>
      </c>
      <c r="G105" s="4" t="s">
        <v>18</v>
      </c>
      <c r="H105" s="10"/>
      <c r="I105" s="9"/>
      <c r="J105" s="4"/>
    </row>
    <row r="106" ht="15.75" customHeight="1">
      <c r="A106" s="2" t="s">
        <v>149</v>
      </c>
      <c r="B106" s="2" t="s">
        <v>14</v>
      </c>
      <c r="C106" s="2" t="s">
        <v>147</v>
      </c>
      <c r="D106" s="2" t="s">
        <v>16</v>
      </c>
      <c r="E106" s="3">
        <v>46208.0</v>
      </c>
      <c r="F106" s="4" t="s">
        <v>17</v>
      </c>
      <c r="G106" s="4" t="s">
        <v>18</v>
      </c>
      <c r="H106" s="10"/>
      <c r="I106" s="9"/>
      <c r="J106" s="4"/>
    </row>
    <row r="107" ht="15.75" customHeight="1">
      <c r="A107" s="2" t="s">
        <v>150</v>
      </c>
      <c r="B107" s="2" t="s">
        <v>14</v>
      </c>
      <c r="C107" s="2" t="s">
        <v>147</v>
      </c>
      <c r="D107" s="2"/>
      <c r="E107" s="2"/>
      <c r="F107" s="4" t="s">
        <v>17</v>
      </c>
      <c r="G107" s="4" t="s">
        <v>18</v>
      </c>
      <c r="H107" s="10"/>
      <c r="I107" s="9"/>
      <c r="J107" s="4"/>
    </row>
    <row r="108" ht="15.75" customHeight="1">
      <c r="A108" s="2" t="s">
        <v>151</v>
      </c>
      <c r="B108" s="2" t="s">
        <v>14</v>
      </c>
      <c r="C108" s="2" t="s">
        <v>147</v>
      </c>
      <c r="D108" s="2"/>
      <c r="E108" s="2"/>
      <c r="F108" s="4" t="s">
        <v>17</v>
      </c>
      <c r="G108" s="4" t="s">
        <v>18</v>
      </c>
      <c r="H108" s="10"/>
      <c r="I108" s="9"/>
      <c r="J108" s="4"/>
    </row>
    <row r="109" ht="15.75" customHeight="1">
      <c r="A109" s="2" t="s">
        <v>152</v>
      </c>
      <c r="B109" s="2" t="s">
        <v>14</v>
      </c>
      <c r="C109" s="2" t="s">
        <v>147</v>
      </c>
      <c r="D109" s="2" t="s">
        <v>16</v>
      </c>
      <c r="E109" s="3">
        <v>46177.0</v>
      </c>
      <c r="F109" s="4" t="s">
        <v>17</v>
      </c>
      <c r="G109" s="4" t="s">
        <v>18</v>
      </c>
      <c r="H109" s="10"/>
      <c r="I109" s="9"/>
      <c r="J109" s="4"/>
    </row>
    <row r="110" ht="15.75" customHeight="1">
      <c r="A110" s="2" t="s">
        <v>153</v>
      </c>
      <c r="B110" s="2" t="s">
        <v>14</v>
      </c>
      <c r="C110" s="2" t="s">
        <v>147</v>
      </c>
      <c r="D110" s="2" t="s">
        <v>16</v>
      </c>
      <c r="E110" s="2"/>
      <c r="F110" s="4" t="s">
        <v>17</v>
      </c>
      <c r="G110" s="4" t="s">
        <v>18</v>
      </c>
      <c r="H110" s="10"/>
      <c r="I110" s="9"/>
      <c r="J110" s="4"/>
    </row>
    <row r="111" ht="15.75" customHeight="1">
      <c r="A111" s="2" t="s">
        <v>154</v>
      </c>
      <c r="B111" s="2" t="s">
        <v>14</v>
      </c>
      <c r="C111" s="2" t="s">
        <v>147</v>
      </c>
      <c r="D111" s="2"/>
      <c r="E111" s="2"/>
      <c r="F111" s="4" t="s">
        <v>17</v>
      </c>
      <c r="G111" s="4" t="s">
        <v>18</v>
      </c>
      <c r="H111" s="10"/>
      <c r="I111" s="9"/>
      <c r="J111" s="4"/>
    </row>
    <row r="112" ht="15.75" customHeight="1">
      <c r="A112" s="2" t="s">
        <v>155</v>
      </c>
      <c r="B112" s="2" t="s">
        <v>14</v>
      </c>
      <c r="C112" s="2" t="s">
        <v>147</v>
      </c>
      <c r="D112" s="2" t="s">
        <v>22</v>
      </c>
      <c r="E112" s="3">
        <v>46083.0</v>
      </c>
      <c r="F112" s="4" t="s">
        <v>17</v>
      </c>
      <c r="G112" s="4" t="s">
        <v>18</v>
      </c>
      <c r="H112" s="10"/>
      <c r="I112" s="9"/>
      <c r="J112" s="4"/>
    </row>
    <row r="113" ht="15.75" customHeight="1">
      <c r="A113" s="2" t="s">
        <v>156</v>
      </c>
      <c r="B113" s="2" t="s">
        <v>14</v>
      </c>
      <c r="C113" s="2" t="s">
        <v>157</v>
      </c>
      <c r="D113" s="2"/>
      <c r="E113" s="2"/>
      <c r="F113" s="4" t="s">
        <v>17</v>
      </c>
      <c r="G113" s="4" t="s">
        <v>18</v>
      </c>
      <c r="H113" s="10"/>
      <c r="I113" s="9"/>
      <c r="J113" s="4"/>
    </row>
    <row r="114" ht="15.75" customHeight="1">
      <c r="A114" s="2" t="s">
        <v>158</v>
      </c>
      <c r="B114" s="2" t="s">
        <v>14</v>
      </c>
      <c r="C114" s="2" t="s">
        <v>157</v>
      </c>
      <c r="D114" s="2" t="s">
        <v>22</v>
      </c>
      <c r="E114" s="3">
        <v>46115.0</v>
      </c>
      <c r="F114" s="4" t="s">
        <v>17</v>
      </c>
      <c r="G114" s="4" t="s">
        <v>18</v>
      </c>
      <c r="H114" s="10"/>
      <c r="I114" s="9"/>
      <c r="J114" s="4"/>
    </row>
    <row r="115" ht="15.75" customHeight="1">
      <c r="A115" s="2" t="s">
        <v>159</v>
      </c>
      <c r="B115" s="2" t="s">
        <v>14</v>
      </c>
      <c r="C115" s="2" t="s">
        <v>157</v>
      </c>
      <c r="D115" s="2"/>
      <c r="E115" s="2"/>
      <c r="F115" s="4" t="s">
        <v>17</v>
      </c>
      <c r="G115" s="4" t="s">
        <v>18</v>
      </c>
      <c r="H115" s="10"/>
      <c r="I115" s="9"/>
      <c r="J115" s="4"/>
    </row>
    <row r="116" ht="15.75" customHeight="1">
      <c r="A116" s="2" t="s">
        <v>160</v>
      </c>
      <c r="B116" s="2" t="s">
        <v>14</v>
      </c>
      <c r="C116" s="2" t="s">
        <v>157</v>
      </c>
      <c r="D116" s="2"/>
      <c r="E116" s="2">
        <v>1.0</v>
      </c>
      <c r="F116" s="4" t="s">
        <v>17</v>
      </c>
      <c r="G116" s="4" t="s">
        <v>18</v>
      </c>
      <c r="H116" s="10"/>
      <c r="I116" s="9"/>
      <c r="J116" s="4"/>
    </row>
    <row r="117" ht="15.75" customHeight="1">
      <c r="A117" s="2" t="s">
        <v>161</v>
      </c>
      <c r="B117" s="2" t="s">
        <v>14</v>
      </c>
      <c r="C117" s="2" t="s">
        <v>157</v>
      </c>
      <c r="D117" s="2"/>
      <c r="E117" s="2"/>
      <c r="F117" s="4" t="s">
        <v>17</v>
      </c>
      <c r="G117" s="4" t="s">
        <v>18</v>
      </c>
      <c r="H117" s="10"/>
      <c r="I117" s="9"/>
      <c r="J117" s="4"/>
    </row>
    <row r="118" ht="15.75" customHeight="1">
      <c r="A118" s="2" t="s">
        <v>162</v>
      </c>
      <c r="B118" s="2" t="s">
        <v>14</v>
      </c>
      <c r="C118" s="2" t="s">
        <v>157</v>
      </c>
      <c r="D118" s="2" t="s">
        <v>22</v>
      </c>
      <c r="E118" s="2"/>
      <c r="F118" s="4" t="s">
        <v>17</v>
      </c>
      <c r="G118" s="4" t="s">
        <v>18</v>
      </c>
      <c r="H118" s="10"/>
      <c r="I118" s="9"/>
      <c r="J118" s="4"/>
    </row>
    <row r="119" ht="15.75" customHeight="1">
      <c r="A119" s="2" t="s">
        <v>163</v>
      </c>
      <c r="B119" s="2" t="s">
        <v>14</v>
      </c>
      <c r="C119" s="2" t="s">
        <v>157</v>
      </c>
      <c r="D119" s="2" t="s">
        <v>22</v>
      </c>
      <c r="E119" s="2">
        <v>2.0</v>
      </c>
      <c r="F119" s="4" t="s">
        <v>17</v>
      </c>
      <c r="G119" s="4" t="s">
        <v>18</v>
      </c>
      <c r="H119" s="10"/>
      <c r="I119" s="9"/>
      <c r="J119" s="4"/>
    </row>
    <row r="120" ht="15.75" customHeight="1">
      <c r="A120" s="2" t="s">
        <v>164</v>
      </c>
      <c r="B120" s="2" t="s">
        <v>14</v>
      </c>
      <c r="C120" s="2" t="s">
        <v>165</v>
      </c>
      <c r="D120" s="2" t="s">
        <v>22</v>
      </c>
      <c r="E120" s="3">
        <v>46145.0</v>
      </c>
      <c r="F120" s="4" t="s">
        <v>17</v>
      </c>
      <c r="G120" s="4" t="s">
        <v>18</v>
      </c>
      <c r="H120" s="10"/>
      <c r="I120" s="9"/>
      <c r="J120" s="4"/>
    </row>
    <row r="121" ht="15.75" customHeight="1">
      <c r="A121" s="2" t="s">
        <v>166</v>
      </c>
      <c r="B121" s="2" t="s">
        <v>14</v>
      </c>
      <c r="C121" s="2" t="s">
        <v>165</v>
      </c>
      <c r="D121" s="2"/>
      <c r="E121" s="2"/>
      <c r="F121" s="4" t="s">
        <v>17</v>
      </c>
      <c r="G121" s="4" t="s">
        <v>18</v>
      </c>
      <c r="H121" s="10"/>
      <c r="I121" s="9"/>
      <c r="J121" s="4"/>
    </row>
    <row r="122" ht="15.75" customHeight="1">
      <c r="A122" s="2" t="s">
        <v>167</v>
      </c>
      <c r="B122" s="2" t="s">
        <v>14</v>
      </c>
      <c r="C122" s="2" t="s">
        <v>165</v>
      </c>
      <c r="D122" s="2" t="s">
        <v>22</v>
      </c>
      <c r="E122" s="3">
        <v>46083.0</v>
      </c>
      <c r="F122" s="4" t="s">
        <v>17</v>
      </c>
      <c r="G122" s="4" t="s">
        <v>18</v>
      </c>
      <c r="H122" s="10"/>
      <c r="I122" s="9"/>
      <c r="J122" s="4"/>
    </row>
    <row r="123" ht="15.75" customHeight="1">
      <c r="A123" s="2" t="s">
        <v>168</v>
      </c>
      <c r="B123" s="2" t="s">
        <v>14</v>
      </c>
      <c r="C123" s="2" t="s">
        <v>165</v>
      </c>
      <c r="D123" s="2"/>
      <c r="E123" s="2"/>
      <c r="F123" s="4" t="s">
        <v>17</v>
      </c>
      <c r="G123" s="4" t="s">
        <v>18</v>
      </c>
      <c r="H123" s="10"/>
      <c r="I123" s="9"/>
      <c r="J123" s="4"/>
    </row>
    <row r="124" ht="15.75" customHeight="1">
      <c r="A124" s="2" t="s">
        <v>169</v>
      </c>
      <c r="B124" s="2" t="s">
        <v>14</v>
      </c>
      <c r="C124" s="2" t="s">
        <v>165</v>
      </c>
      <c r="D124" s="2"/>
      <c r="E124" s="3">
        <v>46054.0</v>
      </c>
      <c r="F124" s="4" t="s">
        <v>17</v>
      </c>
      <c r="G124" s="4" t="s">
        <v>18</v>
      </c>
      <c r="H124" s="10"/>
      <c r="I124" s="9"/>
      <c r="J124" s="4"/>
    </row>
    <row r="125" ht="15.75" customHeight="1">
      <c r="A125" s="2" t="s">
        <v>170</v>
      </c>
      <c r="B125" s="2" t="s">
        <v>14</v>
      </c>
      <c r="C125" s="2" t="s">
        <v>165</v>
      </c>
      <c r="D125" s="2"/>
      <c r="E125" s="2"/>
      <c r="F125" s="4" t="s">
        <v>17</v>
      </c>
      <c r="G125" s="4" t="s">
        <v>18</v>
      </c>
      <c r="H125" s="10"/>
      <c r="I125" s="9"/>
      <c r="J125" s="4"/>
    </row>
    <row r="126" ht="15.75" customHeight="1">
      <c r="A126" s="2" t="s">
        <v>171</v>
      </c>
      <c r="B126" s="2" t="s">
        <v>14</v>
      </c>
      <c r="C126" s="2" t="s">
        <v>165</v>
      </c>
      <c r="D126" s="2"/>
      <c r="E126" s="2"/>
      <c r="F126" s="4" t="s">
        <v>17</v>
      </c>
      <c r="G126" s="4" t="s">
        <v>18</v>
      </c>
      <c r="H126" s="10"/>
      <c r="I126" s="9"/>
      <c r="J126" s="4"/>
    </row>
    <row r="127" ht="15.75" customHeight="1">
      <c r="A127" s="2" t="s">
        <v>172</v>
      </c>
      <c r="B127" s="2" t="s">
        <v>14</v>
      </c>
      <c r="C127" s="2" t="s">
        <v>165</v>
      </c>
      <c r="D127" s="2"/>
      <c r="E127" s="2"/>
      <c r="F127" s="4" t="s">
        <v>17</v>
      </c>
      <c r="G127" s="4" t="s">
        <v>18</v>
      </c>
      <c r="H127" s="10"/>
      <c r="I127" s="9"/>
      <c r="J127" s="4"/>
    </row>
    <row r="128" ht="15.75" customHeight="1">
      <c r="A128" s="2" t="s">
        <v>173</v>
      </c>
      <c r="B128" s="2" t="s">
        <v>14</v>
      </c>
      <c r="C128" s="2" t="s">
        <v>165</v>
      </c>
      <c r="D128" s="2"/>
      <c r="E128" s="2"/>
      <c r="F128" s="4" t="s">
        <v>17</v>
      </c>
      <c r="G128" s="4" t="s">
        <v>18</v>
      </c>
      <c r="H128" s="10"/>
      <c r="I128" s="9"/>
      <c r="J128" s="4"/>
    </row>
    <row r="129" ht="15.75" customHeight="1">
      <c r="A129" s="2" t="s">
        <v>174</v>
      </c>
      <c r="B129" s="2" t="s">
        <v>14</v>
      </c>
      <c r="C129" s="2" t="s">
        <v>165</v>
      </c>
      <c r="D129" s="2"/>
      <c r="E129" s="2"/>
      <c r="F129" s="4" t="s">
        <v>17</v>
      </c>
      <c r="G129" s="4" t="s">
        <v>18</v>
      </c>
      <c r="H129" s="10"/>
      <c r="I129" s="9"/>
      <c r="J129" s="4"/>
    </row>
    <row r="130" ht="15.75" customHeight="1">
      <c r="A130" s="2" t="s">
        <v>175</v>
      </c>
      <c r="B130" s="2" t="s">
        <v>14</v>
      </c>
      <c r="C130" s="2" t="s">
        <v>176</v>
      </c>
      <c r="D130" s="2" t="s">
        <v>22</v>
      </c>
      <c r="E130" s="2">
        <v>1.0</v>
      </c>
      <c r="F130" s="4" t="s">
        <v>17</v>
      </c>
      <c r="G130" s="4" t="s">
        <v>18</v>
      </c>
      <c r="H130" s="10"/>
      <c r="I130" s="9"/>
      <c r="J130" s="4"/>
    </row>
    <row r="131" ht="15.75" customHeight="1">
      <c r="A131" s="2" t="s">
        <v>177</v>
      </c>
      <c r="B131" s="2" t="s">
        <v>14</v>
      </c>
      <c r="C131" s="2" t="s">
        <v>176</v>
      </c>
      <c r="D131" s="2"/>
      <c r="E131" s="2"/>
      <c r="F131" s="4" t="s">
        <v>17</v>
      </c>
      <c r="G131" s="4" t="s">
        <v>18</v>
      </c>
      <c r="H131" s="10"/>
      <c r="I131" s="9"/>
      <c r="J131" s="4"/>
    </row>
    <row r="132" ht="15.75" customHeight="1">
      <c r="A132" s="2" t="s">
        <v>178</v>
      </c>
      <c r="B132" s="2" t="s">
        <v>14</v>
      </c>
      <c r="C132" s="2" t="s">
        <v>176</v>
      </c>
      <c r="D132" s="2"/>
      <c r="E132" s="3">
        <v>46083.0</v>
      </c>
      <c r="F132" s="4" t="s">
        <v>17</v>
      </c>
      <c r="G132" s="4" t="s">
        <v>18</v>
      </c>
      <c r="H132" s="10"/>
      <c r="I132" s="9"/>
      <c r="J132" s="4"/>
    </row>
    <row r="133" ht="15.75" customHeight="1">
      <c r="A133" s="2" t="s">
        <v>179</v>
      </c>
      <c r="B133" s="2" t="s">
        <v>14</v>
      </c>
      <c r="C133" s="2" t="s">
        <v>176</v>
      </c>
      <c r="D133" s="2"/>
      <c r="E133" s="2"/>
      <c r="F133" s="4" t="s">
        <v>17</v>
      </c>
      <c r="G133" s="4" t="s">
        <v>18</v>
      </c>
      <c r="H133" s="10"/>
      <c r="I133" s="9"/>
      <c r="J133" s="4"/>
    </row>
    <row r="134" ht="15.75" customHeight="1">
      <c r="A134" s="2" t="s">
        <v>180</v>
      </c>
      <c r="B134" s="2" t="s">
        <v>14</v>
      </c>
      <c r="C134" s="2" t="s">
        <v>176</v>
      </c>
      <c r="D134" s="2" t="s">
        <v>16</v>
      </c>
      <c r="E134" s="3">
        <v>46054.0</v>
      </c>
      <c r="F134" s="4" t="s">
        <v>17</v>
      </c>
      <c r="G134" s="4" t="s">
        <v>18</v>
      </c>
      <c r="H134" s="10"/>
      <c r="I134" s="9"/>
      <c r="J134" s="4"/>
    </row>
    <row r="135" ht="15.75" customHeight="1">
      <c r="A135" s="2" t="s">
        <v>181</v>
      </c>
      <c r="B135" s="2" t="s">
        <v>14</v>
      </c>
      <c r="C135" s="2" t="s">
        <v>182</v>
      </c>
      <c r="D135" s="2"/>
      <c r="E135" s="2"/>
      <c r="F135" s="4" t="s">
        <v>17</v>
      </c>
      <c r="G135" s="4" t="s">
        <v>18</v>
      </c>
      <c r="H135" s="10"/>
      <c r="I135" s="9"/>
      <c r="J135" s="4"/>
    </row>
    <row r="136" ht="15.75" customHeight="1">
      <c r="A136" s="2" t="s">
        <v>183</v>
      </c>
      <c r="B136" s="2" t="s">
        <v>14</v>
      </c>
      <c r="C136" s="2" t="s">
        <v>182</v>
      </c>
      <c r="D136" s="2"/>
      <c r="E136" s="2"/>
      <c r="F136" s="4" t="s">
        <v>17</v>
      </c>
      <c r="G136" s="4" t="s">
        <v>18</v>
      </c>
      <c r="H136" s="10"/>
      <c r="I136" s="9"/>
      <c r="J136" s="4"/>
    </row>
    <row r="137" ht="15.75" customHeight="1">
      <c r="A137" s="2" t="s">
        <v>184</v>
      </c>
      <c r="B137" s="2" t="s">
        <v>14</v>
      </c>
      <c r="C137" s="2" t="s">
        <v>182</v>
      </c>
      <c r="D137" s="2"/>
      <c r="E137" s="2"/>
      <c r="F137" s="4" t="s">
        <v>17</v>
      </c>
      <c r="G137" s="4" t="s">
        <v>18</v>
      </c>
      <c r="H137" s="10"/>
      <c r="I137" s="9"/>
      <c r="J137" s="4"/>
    </row>
    <row r="138" ht="15.75" customHeight="1">
      <c r="A138" s="2" t="s">
        <v>185</v>
      </c>
      <c r="B138" s="2" t="s">
        <v>14</v>
      </c>
      <c r="C138" s="2" t="s">
        <v>182</v>
      </c>
      <c r="D138" s="2"/>
      <c r="E138" s="2"/>
      <c r="F138" s="4" t="s">
        <v>17</v>
      </c>
      <c r="G138" s="4" t="s">
        <v>18</v>
      </c>
      <c r="H138" s="10"/>
      <c r="I138" s="9"/>
      <c r="J138" s="4"/>
    </row>
    <row r="139" ht="15.75" customHeight="1">
      <c r="A139" s="2" t="s">
        <v>186</v>
      </c>
      <c r="B139" s="2" t="s">
        <v>14</v>
      </c>
      <c r="C139" s="2" t="s">
        <v>182</v>
      </c>
      <c r="D139" s="2"/>
      <c r="E139" s="2"/>
      <c r="F139" s="4" t="s">
        <v>17</v>
      </c>
      <c r="G139" s="4" t="s">
        <v>18</v>
      </c>
      <c r="H139" s="10"/>
      <c r="I139" s="9"/>
      <c r="J139" s="4"/>
    </row>
    <row r="140" ht="15.75" customHeight="1">
      <c r="A140" s="2" t="s">
        <v>187</v>
      </c>
      <c r="B140" s="2" t="s">
        <v>14</v>
      </c>
      <c r="C140" s="2" t="s">
        <v>182</v>
      </c>
      <c r="D140" s="2"/>
      <c r="E140" s="2"/>
      <c r="F140" s="4" t="s">
        <v>17</v>
      </c>
      <c r="G140" s="4" t="s">
        <v>18</v>
      </c>
      <c r="H140" s="10"/>
      <c r="I140" s="9"/>
      <c r="J140" s="4"/>
    </row>
    <row r="141" ht="15.75" customHeight="1">
      <c r="A141" s="2" t="s">
        <v>188</v>
      </c>
      <c r="B141" s="2" t="s">
        <v>14</v>
      </c>
      <c r="C141" s="2" t="s">
        <v>182</v>
      </c>
      <c r="D141" s="2"/>
      <c r="E141" s="2"/>
      <c r="F141" s="4" t="s">
        <v>17</v>
      </c>
      <c r="G141" s="4" t="s">
        <v>18</v>
      </c>
      <c r="H141" s="10"/>
      <c r="I141" s="9"/>
      <c r="J141" s="4"/>
    </row>
    <row r="142" ht="15.75" customHeight="1">
      <c r="A142" s="2" t="s">
        <v>189</v>
      </c>
      <c r="B142" s="2" t="s">
        <v>14</v>
      </c>
      <c r="C142" s="2" t="s">
        <v>190</v>
      </c>
      <c r="D142" s="2" t="s">
        <v>33</v>
      </c>
      <c r="E142" s="2"/>
      <c r="F142" s="4" t="s">
        <v>17</v>
      </c>
      <c r="G142" s="4" t="s">
        <v>18</v>
      </c>
      <c r="H142" s="10"/>
      <c r="I142" s="9"/>
      <c r="J142" s="4"/>
    </row>
    <row r="143" ht="15.75" customHeight="1">
      <c r="A143" s="2" t="s">
        <v>191</v>
      </c>
      <c r="B143" s="2" t="s">
        <v>14</v>
      </c>
      <c r="C143" s="2" t="s">
        <v>190</v>
      </c>
      <c r="D143" s="2"/>
      <c r="E143" s="2"/>
      <c r="F143" s="4" t="s">
        <v>17</v>
      </c>
      <c r="G143" s="4" t="s">
        <v>18</v>
      </c>
      <c r="H143" s="10"/>
      <c r="I143" s="9"/>
      <c r="J143" s="4"/>
    </row>
    <row r="144" ht="15.75" customHeight="1">
      <c r="A144" s="2" t="s">
        <v>192</v>
      </c>
      <c r="B144" s="2" t="s">
        <v>14</v>
      </c>
      <c r="C144" s="2" t="s">
        <v>190</v>
      </c>
      <c r="D144" s="2"/>
      <c r="E144" s="2"/>
      <c r="F144" s="4" t="s">
        <v>17</v>
      </c>
      <c r="G144" s="4" t="s">
        <v>18</v>
      </c>
      <c r="H144" s="10"/>
      <c r="I144" s="9"/>
      <c r="J144" s="4"/>
    </row>
    <row r="145" ht="15.75" customHeight="1">
      <c r="A145" s="2" t="s">
        <v>193</v>
      </c>
      <c r="B145" s="2" t="s">
        <v>14</v>
      </c>
      <c r="C145" s="2" t="s">
        <v>190</v>
      </c>
      <c r="D145" s="2" t="s">
        <v>33</v>
      </c>
      <c r="E145" s="3">
        <v>46083.0</v>
      </c>
      <c r="F145" s="4" t="s">
        <v>17</v>
      </c>
      <c r="G145" s="4" t="s">
        <v>18</v>
      </c>
      <c r="H145" s="10"/>
      <c r="I145" s="9"/>
      <c r="J145" s="4"/>
    </row>
    <row r="146" ht="15.75" customHeight="1">
      <c r="A146" s="2" t="s">
        <v>194</v>
      </c>
      <c r="B146" s="2" t="s">
        <v>14</v>
      </c>
      <c r="C146" s="2" t="s">
        <v>190</v>
      </c>
      <c r="D146" s="2"/>
      <c r="E146" s="2"/>
      <c r="F146" s="4" t="s">
        <v>17</v>
      </c>
      <c r="G146" s="4" t="s">
        <v>18</v>
      </c>
      <c r="H146" s="10"/>
      <c r="I146" s="9"/>
      <c r="J146" s="4"/>
    </row>
    <row r="147" ht="15.75" customHeight="1">
      <c r="A147" s="2" t="s">
        <v>195</v>
      </c>
      <c r="B147" s="2" t="s">
        <v>14</v>
      </c>
      <c r="C147" s="2" t="s">
        <v>190</v>
      </c>
      <c r="D147" s="2"/>
      <c r="E147" s="2"/>
      <c r="F147" s="4" t="s">
        <v>17</v>
      </c>
      <c r="G147" s="4" t="s">
        <v>18</v>
      </c>
      <c r="H147" s="10"/>
      <c r="I147" s="9"/>
      <c r="J147" s="4"/>
    </row>
    <row r="148" ht="15.75" customHeight="1">
      <c r="A148" s="2" t="s">
        <v>196</v>
      </c>
      <c r="B148" s="2" t="s">
        <v>14</v>
      </c>
      <c r="C148" s="2" t="s">
        <v>197</v>
      </c>
      <c r="D148" s="2" t="s">
        <v>16</v>
      </c>
      <c r="E148" s="3">
        <v>46054.0</v>
      </c>
      <c r="F148" s="4" t="s">
        <v>17</v>
      </c>
      <c r="G148" s="4" t="s">
        <v>18</v>
      </c>
      <c r="H148" s="10"/>
      <c r="I148" s="9"/>
      <c r="J148" s="4"/>
    </row>
    <row r="149" ht="15.75" customHeight="1">
      <c r="A149" s="2" t="s">
        <v>198</v>
      </c>
      <c r="B149" s="2" t="s">
        <v>14</v>
      </c>
      <c r="C149" s="2" t="s">
        <v>197</v>
      </c>
      <c r="D149" s="2"/>
      <c r="E149" s="2"/>
      <c r="F149" s="4" t="s">
        <v>17</v>
      </c>
      <c r="G149" s="4" t="s">
        <v>18</v>
      </c>
      <c r="H149" s="10"/>
      <c r="I149" s="9"/>
      <c r="J149" s="4"/>
    </row>
    <row r="150" ht="15.75" customHeight="1">
      <c r="A150" s="2" t="s">
        <v>199</v>
      </c>
      <c r="B150" s="2" t="s">
        <v>14</v>
      </c>
      <c r="C150" s="2" t="s">
        <v>197</v>
      </c>
      <c r="D150" s="2"/>
      <c r="E150" s="2"/>
      <c r="F150" s="4" t="s">
        <v>17</v>
      </c>
      <c r="G150" s="4" t="s">
        <v>18</v>
      </c>
      <c r="H150" s="10"/>
      <c r="I150" s="9"/>
      <c r="J150" s="4"/>
    </row>
    <row r="151" ht="15.75" customHeight="1">
      <c r="A151" s="2" t="s">
        <v>200</v>
      </c>
      <c r="B151" s="2" t="s">
        <v>14</v>
      </c>
      <c r="C151" s="2" t="s">
        <v>197</v>
      </c>
      <c r="D151" s="2"/>
      <c r="E151" s="2"/>
      <c r="F151" s="4" t="s">
        <v>17</v>
      </c>
      <c r="G151" s="4" t="s">
        <v>18</v>
      </c>
      <c r="H151" s="10"/>
      <c r="I151" s="9"/>
      <c r="J151" s="4"/>
    </row>
    <row r="152" ht="15.75" customHeight="1">
      <c r="A152" s="2" t="s">
        <v>201</v>
      </c>
      <c r="B152" s="2" t="s">
        <v>14</v>
      </c>
      <c r="C152" s="2" t="s">
        <v>197</v>
      </c>
      <c r="D152" s="2"/>
      <c r="E152" s="2"/>
      <c r="F152" s="4" t="s">
        <v>17</v>
      </c>
      <c r="G152" s="4" t="s">
        <v>18</v>
      </c>
      <c r="H152" s="10"/>
      <c r="I152" s="9"/>
      <c r="J152" s="4"/>
    </row>
    <row r="153" ht="15.75" customHeight="1">
      <c r="A153" s="2" t="s">
        <v>202</v>
      </c>
      <c r="B153" s="2" t="s">
        <v>14</v>
      </c>
      <c r="C153" s="2" t="s">
        <v>197</v>
      </c>
      <c r="D153" s="2" t="s">
        <v>22</v>
      </c>
      <c r="E153" s="3">
        <v>46083.0</v>
      </c>
      <c r="F153" s="4" t="s">
        <v>17</v>
      </c>
      <c r="G153" s="4" t="s">
        <v>18</v>
      </c>
      <c r="H153" s="10"/>
      <c r="I153" s="9"/>
      <c r="J153" s="4"/>
    </row>
    <row r="154" ht="15.75" customHeight="1">
      <c r="A154" s="2" t="s">
        <v>203</v>
      </c>
      <c r="B154" s="2" t="s">
        <v>14</v>
      </c>
      <c r="C154" s="2" t="s">
        <v>197</v>
      </c>
      <c r="D154" s="2"/>
      <c r="E154" s="2"/>
      <c r="F154" s="4" t="s">
        <v>17</v>
      </c>
      <c r="G154" s="4" t="s">
        <v>18</v>
      </c>
      <c r="H154" s="10"/>
      <c r="I154" s="9"/>
      <c r="J154" s="4"/>
    </row>
    <row r="155" ht="15.75" customHeight="1">
      <c r="A155" s="2" t="s">
        <v>204</v>
      </c>
      <c r="B155" s="2" t="s">
        <v>14</v>
      </c>
      <c r="C155" s="2" t="s">
        <v>205</v>
      </c>
      <c r="D155" s="2" t="s">
        <v>16</v>
      </c>
      <c r="E155" s="2">
        <v>2.0</v>
      </c>
      <c r="F155" s="4" t="s">
        <v>17</v>
      </c>
      <c r="G155" s="4" t="s">
        <v>18</v>
      </c>
      <c r="H155" s="10"/>
      <c r="I155" s="9"/>
      <c r="J155" s="4"/>
    </row>
    <row r="156" ht="15.75" customHeight="1">
      <c r="A156" s="2" t="s">
        <v>206</v>
      </c>
      <c r="B156" s="2" t="s">
        <v>14</v>
      </c>
      <c r="C156" s="2" t="s">
        <v>205</v>
      </c>
      <c r="D156" s="2" t="s">
        <v>16</v>
      </c>
      <c r="E156" s="3">
        <v>46083.0</v>
      </c>
      <c r="F156" s="4" t="s">
        <v>17</v>
      </c>
      <c r="G156" s="4" t="s">
        <v>18</v>
      </c>
      <c r="H156" s="10"/>
      <c r="I156" s="9"/>
      <c r="J156" s="4"/>
    </row>
    <row r="157" ht="15.75" customHeight="1">
      <c r="A157" s="2" t="s">
        <v>207</v>
      </c>
      <c r="B157" s="2" t="s">
        <v>14</v>
      </c>
      <c r="C157" s="2" t="s">
        <v>205</v>
      </c>
      <c r="D157" s="2"/>
      <c r="E157" s="2"/>
      <c r="F157" s="4" t="s">
        <v>17</v>
      </c>
      <c r="G157" s="4" t="s">
        <v>18</v>
      </c>
      <c r="H157" s="10"/>
      <c r="I157" s="9"/>
      <c r="J157" s="4"/>
    </row>
    <row r="158" ht="15.75" customHeight="1">
      <c r="A158" s="2" t="s">
        <v>208</v>
      </c>
      <c r="B158" s="2" t="s">
        <v>14</v>
      </c>
      <c r="C158" s="2" t="s">
        <v>205</v>
      </c>
      <c r="D158" s="2"/>
      <c r="E158" s="2"/>
      <c r="F158" s="4" t="s">
        <v>17</v>
      </c>
      <c r="G158" s="4" t="s">
        <v>18</v>
      </c>
      <c r="H158" s="10"/>
      <c r="I158" s="9"/>
      <c r="J158" s="4"/>
    </row>
    <row r="159" ht="15.75" customHeight="1">
      <c r="A159" s="2" t="s">
        <v>209</v>
      </c>
      <c r="B159" s="2" t="s">
        <v>14</v>
      </c>
      <c r="C159" s="2" t="s">
        <v>205</v>
      </c>
      <c r="D159" s="2" t="s">
        <v>16</v>
      </c>
      <c r="E159" s="3">
        <v>46054.0</v>
      </c>
      <c r="F159" s="4" t="s">
        <v>17</v>
      </c>
      <c r="G159" s="4" t="s">
        <v>18</v>
      </c>
      <c r="H159" s="10"/>
      <c r="I159" s="9"/>
      <c r="J159" s="4"/>
    </row>
    <row r="160" ht="15.75" customHeight="1">
      <c r="A160" s="2" t="s">
        <v>210</v>
      </c>
      <c r="B160" s="2" t="s">
        <v>14</v>
      </c>
      <c r="C160" s="2" t="s">
        <v>205</v>
      </c>
      <c r="D160" s="2" t="s">
        <v>16</v>
      </c>
      <c r="E160" s="3">
        <v>46207.0</v>
      </c>
      <c r="F160" s="4" t="s">
        <v>17</v>
      </c>
      <c r="G160" s="4" t="s">
        <v>18</v>
      </c>
      <c r="H160" s="10"/>
      <c r="I160" s="9"/>
      <c r="J160" s="4"/>
    </row>
    <row r="161" ht="15.75" customHeight="1">
      <c r="A161" s="2" t="s">
        <v>211</v>
      </c>
      <c r="B161" s="2" t="s">
        <v>14</v>
      </c>
      <c r="C161" s="2" t="s">
        <v>205</v>
      </c>
      <c r="D161" s="2" t="s">
        <v>16</v>
      </c>
      <c r="E161" s="3">
        <v>46238.0</v>
      </c>
      <c r="F161" s="4" t="s">
        <v>17</v>
      </c>
      <c r="G161" s="4" t="s">
        <v>18</v>
      </c>
      <c r="H161" s="10"/>
      <c r="I161" s="9"/>
      <c r="J161" s="4"/>
    </row>
    <row r="162" ht="15.75" customHeight="1">
      <c r="A162" s="2" t="s">
        <v>212</v>
      </c>
      <c r="B162" s="2" t="s">
        <v>14</v>
      </c>
      <c r="C162" s="2" t="s">
        <v>205</v>
      </c>
      <c r="D162" s="2" t="s">
        <v>33</v>
      </c>
      <c r="E162" s="2"/>
      <c r="F162" s="4" t="s">
        <v>17</v>
      </c>
      <c r="G162" s="4" t="s">
        <v>18</v>
      </c>
      <c r="H162" s="10"/>
      <c r="I162" s="9"/>
      <c r="J162" s="4"/>
    </row>
    <row r="163" ht="15.75" customHeight="1">
      <c r="A163" s="2" t="s">
        <v>213</v>
      </c>
      <c r="B163" s="2" t="s">
        <v>14</v>
      </c>
      <c r="C163" s="2" t="s">
        <v>214</v>
      </c>
      <c r="D163" s="2"/>
      <c r="E163" s="2">
        <v>0.0</v>
      </c>
      <c r="F163" s="4" t="s">
        <v>17</v>
      </c>
      <c r="G163" s="4" t="s">
        <v>18</v>
      </c>
      <c r="H163" s="10"/>
      <c r="I163" s="9"/>
      <c r="J163" s="4"/>
    </row>
    <row r="164" ht="15.75" customHeight="1">
      <c r="A164" s="2" t="s">
        <v>215</v>
      </c>
      <c r="B164" s="2" t="s">
        <v>14</v>
      </c>
      <c r="C164" s="2" t="s">
        <v>216</v>
      </c>
      <c r="D164" s="2"/>
      <c r="E164" s="3">
        <v>46083.0</v>
      </c>
      <c r="F164" s="4" t="s">
        <v>17</v>
      </c>
      <c r="G164" s="4" t="s">
        <v>18</v>
      </c>
      <c r="H164" s="10"/>
      <c r="I164" s="9"/>
      <c r="J164" s="4"/>
    </row>
    <row r="165" ht="15.75" customHeight="1">
      <c r="A165" s="2" t="s">
        <v>217</v>
      </c>
      <c r="B165" s="2" t="s">
        <v>14</v>
      </c>
      <c r="C165" s="2" t="s">
        <v>218</v>
      </c>
      <c r="D165" s="2"/>
      <c r="E165" s="2"/>
      <c r="F165" s="4" t="s">
        <v>17</v>
      </c>
      <c r="G165" s="4" t="s">
        <v>18</v>
      </c>
      <c r="H165" s="10"/>
      <c r="I165" s="9"/>
      <c r="J165" s="4"/>
    </row>
    <row r="166" ht="15.75" customHeight="1">
      <c r="A166" s="2" t="s">
        <v>219</v>
      </c>
      <c r="B166" s="2" t="s">
        <v>14</v>
      </c>
      <c r="C166" s="2" t="s">
        <v>220</v>
      </c>
      <c r="D166" s="2"/>
      <c r="E166" s="2"/>
      <c r="F166" s="4" t="s">
        <v>17</v>
      </c>
      <c r="G166" s="4" t="s">
        <v>18</v>
      </c>
      <c r="H166" s="10"/>
      <c r="I166" s="9"/>
      <c r="J166" s="4"/>
    </row>
    <row r="167" ht="15.75" customHeight="1">
      <c r="A167" s="2" t="s">
        <v>221</v>
      </c>
      <c r="B167" s="2" t="s">
        <v>14</v>
      </c>
      <c r="C167" s="2" t="s">
        <v>222</v>
      </c>
      <c r="D167" s="2"/>
      <c r="E167" s="2"/>
      <c r="F167" s="4" t="s">
        <v>17</v>
      </c>
      <c r="G167" s="4" t="s">
        <v>18</v>
      </c>
      <c r="H167" s="10"/>
      <c r="I167" s="9"/>
      <c r="J167" s="4"/>
    </row>
    <row r="168" ht="15.75" customHeight="1">
      <c r="A168" s="2" t="s">
        <v>223</v>
      </c>
      <c r="B168" s="2" t="s">
        <v>14</v>
      </c>
      <c r="C168" s="2" t="s">
        <v>222</v>
      </c>
      <c r="D168" s="2"/>
      <c r="E168" s="2"/>
      <c r="F168" s="4" t="s">
        <v>17</v>
      </c>
      <c r="G168" s="4" t="s">
        <v>18</v>
      </c>
      <c r="H168" s="10"/>
      <c r="I168" s="9"/>
      <c r="J168" s="4"/>
    </row>
    <row r="169" ht="15.75" customHeight="1">
      <c r="A169" s="2" t="s">
        <v>224</v>
      </c>
      <c r="B169" s="2" t="s">
        <v>14</v>
      </c>
      <c r="C169" s="2" t="s">
        <v>222</v>
      </c>
      <c r="D169" s="2"/>
      <c r="E169" s="2"/>
      <c r="F169" s="4" t="s">
        <v>17</v>
      </c>
      <c r="G169" s="4" t="s">
        <v>18</v>
      </c>
      <c r="H169" s="10"/>
      <c r="I169" s="9"/>
      <c r="J169" s="4"/>
    </row>
    <row r="170" ht="15.75" customHeight="1">
      <c r="A170" s="2" t="s">
        <v>225</v>
      </c>
      <c r="B170" s="2" t="s">
        <v>14</v>
      </c>
      <c r="C170" s="2" t="s">
        <v>226</v>
      </c>
      <c r="D170" s="2" t="s">
        <v>16</v>
      </c>
      <c r="E170" s="2">
        <v>0.0</v>
      </c>
      <c r="F170" s="4" t="s">
        <v>17</v>
      </c>
      <c r="G170" s="4" t="s">
        <v>18</v>
      </c>
      <c r="H170" s="10"/>
      <c r="I170" s="9"/>
      <c r="J170" s="4"/>
    </row>
    <row r="171" ht="15.75" customHeight="1">
      <c r="A171" s="2" t="s">
        <v>227</v>
      </c>
      <c r="B171" s="2" t="s">
        <v>14</v>
      </c>
      <c r="C171" s="2" t="s">
        <v>226</v>
      </c>
      <c r="D171" s="2" t="s">
        <v>16</v>
      </c>
      <c r="E171" s="2">
        <v>0.0</v>
      </c>
      <c r="F171" s="4" t="s">
        <v>17</v>
      </c>
      <c r="G171" s="4" t="s">
        <v>18</v>
      </c>
      <c r="H171" s="10"/>
      <c r="I171" s="9"/>
      <c r="J171" s="4"/>
    </row>
    <row r="172" ht="15.75" customHeight="1">
      <c r="A172" s="2" t="s">
        <v>228</v>
      </c>
      <c r="B172" s="2" t="s">
        <v>14</v>
      </c>
      <c r="C172" s="2" t="s">
        <v>229</v>
      </c>
      <c r="D172" s="2" t="s">
        <v>16</v>
      </c>
      <c r="E172" s="2">
        <v>1.0</v>
      </c>
      <c r="F172" s="4" t="s">
        <v>17</v>
      </c>
      <c r="G172" s="4" t="s">
        <v>18</v>
      </c>
      <c r="H172" s="10"/>
      <c r="I172" s="9"/>
      <c r="J172" s="4"/>
    </row>
    <row r="173" ht="15.75" customHeight="1">
      <c r="A173" s="2" t="s">
        <v>230</v>
      </c>
      <c r="B173" s="2" t="s">
        <v>14</v>
      </c>
      <c r="C173" s="2" t="s">
        <v>214</v>
      </c>
      <c r="D173" s="2" t="s">
        <v>16</v>
      </c>
      <c r="E173" s="2">
        <v>0.0</v>
      </c>
      <c r="F173" s="4" t="s">
        <v>17</v>
      </c>
      <c r="G173" s="4" t="s">
        <v>18</v>
      </c>
      <c r="H173" s="10"/>
      <c r="I173" s="9"/>
      <c r="J173" s="4"/>
    </row>
    <row r="174" ht="15.75" customHeight="1">
      <c r="A174" s="2" t="s">
        <v>231</v>
      </c>
      <c r="B174" s="2" t="s">
        <v>14</v>
      </c>
      <c r="C174" s="2" t="s">
        <v>232</v>
      </c>
      <c r="D174" s="2" t="s">
        <v>22</v>
      </c>
      <c r="E174" s="3">
        <v>46054.0</v>
      </c>
      <c r="F174" s="4" t="s">
        <v>17</v>
      </c>
      <c r="G174" s="4" t="s">
        <v>18</v>
      </c>
      <c r="H174" s="10"/>
      <c r="I174" s="9"/>
      <c r="J174" s="4"/>
    </row>
    <row r="175" ht="15.75" customHeight="1">
      <c r="A175" s="2" t="s">
        <v>233</v>
      </c>
      <c r="B175" s="2" t="s">
        <v>14</v>
      </c>
      <c r="C175" s="2" t="s">
        <v>234</v>
      </c>
      <c r="D175" s="2"/>
      <c r="E175" s="2"/>
      <c r="F175" s="4" t="s">
        <v>17</v>
      </c>
      <c r="G175" s="4" t="s">
        <v>18</v>
      </c>
      <c r="H175" s="10"/>
      <c r="I175" s="9"/>
      <c r="J175" s="4"/>
    </row>
    <row r="176" ht="15.75" customHeight="1">
      <c r="A176" s="2" t="s">
        <v>235</v>
      </c>
      <c r="B176" s="2" t="s">
        <v>14</v>
      </c>
      <c r="C176" s="2" t="s">
        <v>226</v>
      </c>
      <c r="D176" s="2" t="s">
        <v>16</v>
      </c>
      <c r="E176" s="2">
        <v>1.0</v>
      </c>
      <c r="F176" s="4" t="s">
        <v>17</v>
      </c>
      <c r="G176" s="4" t="s">
        <v>18</v>
      </c>
      <c r="H176" s="10"/>
      <c r="I176" s="9"/>
      <c r="J176" s="4"/>
    </row>
    <row r="177" ht="15.75" customHeight="1">
      <c r="A177" s="2" t="s">
        <v>236</v>
      </c>
      <c r="B177" s="2" t="s">
        <v>14</v>
      </c>
      <c r="C177" s="2" t="s">
        <v>237</v>
      </c>
      <c r="D177" s="2"/>
      <c r="E177" s="2"/>
      <c r="F177" s="4" t="s">
        <v>17</v>
      </c>
      <c r="G177" s="4" t="s">
        <v>18</v>
      </c>
      <c r="H177" s="12"/>
      <c r="I177" s="9"/>
      <c r="J177" s="4"/>
    </row>
    <row r="178" ht="15.75" customHeight="1">
      <c r="A178" s="2" t="s">
        <v>238</v>
      </c>
      <c r="B178" s="2" t="s">
        <v>14</v>
      </c>
      <c r="C178" s="2" t="s">
        <v>232</v>
      </c>
      <c r="D178" s="2" t="s">
        <v>16</v>
      </c>
      <c r="E178" s="2">
        <v>0.0</v>
      </c>
      <c r="F178" s="4" t="s">
        <v>17</v>
      </c>
      <c r="G178" s="4" t="s">
        <v>18</v>
      </c>
      <c r="H178" s="10"/>
      <c r="I178" s="9"/>
      <c r="J178" s="4"/>
    </row>
    <row r="179" ht="15.75" customHeight="1">
      <c r="A179" s="2" t="s">
        <v>239</v>
      </c>
      <c r="B179" s="2" t="s">
        <v>14</v>
      </c>
      <c r="C179" s="2" t="s">
        <v>216</v>
      </c>
      <c r="D179" s="2" t="s">
        <v>22</v>
      </c>
      <c r="E179" s="2">
        <v>1.0</v>
      </c>
      <c r="F179" s="4" t="s">
        <v>17</v>
      </c>
      <c r="G179" s="4" t="s">
        <v>18</v>
      </c>
      <c r="H179" s="10"/>
      <c r="I179" s="9"/>
      <c r="J179" s="4"/>
    </row>
    <row r="180" ht="15.75" customHeight="1">
      <c r="A180" s="2" t="s">
        <v>240</v>
      </c>
      <c r="B180" s="2" t="s">
        <v>14</v>
      </c>
      <c r="C180" s="2" t="s">
        <v>241</v>
      </c>
      <c r="D180" s="2" t="s">
        <v>22</v>
      </c>
      <c r="E180" s="3">
        <v>46083.0</v>
      </c>
      <c r="F180" s="4" t="s">
        <v>17</v>
      </c>
      <c r="G180" s="4" t="s">
        <v>18</v>
      </c>
      <c r="H180" s="10"/>
      <c r="I180" s="9"/>
      <c r="J180" s="4"/>
    </row>
    <row r="181" ht="15.75" customHeight="1">
      <c r="A181" s="2" t="s">
        <v>242</v>
      </c>
      <c r="B181" s="2" t="s">
        <v>14</v>
      </c>
      <c r="C181" s="2" t="s">
        <v>243</v>
      </c>
      <c r="D181" s="2"/>
      <c r="E181" s="2"/>
      <c r="F181" s="4" t="s">
        <v>17</v>
      </c>
      <c r="G181" s="4" t="s">
        <v>18</v>
      </c>
      <c r="H181" s="10"/>
      <c r="I181" s="9"/>
      <c r="J181" s="4"/>
    </row>
    <row r="182" ht="15.75" customHeight="1">
      <c r="A182" s="2" t="s">
        <v>244</v>
      </c>
      <c r="B182" s="2" t="s">
        <v>14</v>
      </c>
      <c r="C182" s="2" t="s">
        <v>91</v>
      </c>
      <c r="D182" s="2"/>
      <c r="E182" s="2"/>
      <c r="F182" s="4" t="s">
        <v>17</v>
      </c>
      <c r="G182" s="4" t="s">
        <v>18</v>
      </c>
      <c r="H182" s="10"/>
      <c r="I182" s="9"/>
      <c r="J182" s="4"/>
    </row>
    <row r="183" ht="15.75" customHeight="1">
      <c r="A183" s="2" t="s">
        <v>245</v>
      </c>
      <c r="B183" s="2" t="s">
        <v>14</v>
      </c>
      <c r="C183" s="2" t="s">
        <v>91</v>
      </c>
      <c r="D183" s="2" t="s">
        <v>16</v>
      </c>
      <c r="E183" s="3">
        <v>46054.0</v>
      </c>
      <c r="F183" s="4" t="s">
        <v>17</v>
      </c>
      <c r="G183" s="4" t="s">
        <v>18</v>
      </c>
      <c r="H183" s="10"/>
      <c r="I183" s="9"/>
      <c r="J183" s="4"/>
    </row>
    <row r="184" ht="15.75" customHeight="1">
      <c r="A184" s="2" t="s">
        <v>246</v>
      </c>
      <c r="B184" s="2" t="s">
        <v>14</v>
      </c>
      <c r="C184" s="2" t="s">
        <v>234</v>
      </c>
      <c r="D184" s="2"/>
      <c r="E184" s="2"/>
      <c r="F184" s="4" t="s">
        <v>17</v>
      </c>
      <c r="G184" s="4" t="s">
        <v>18</v>
      </c>
      <c r="H184" s="10"/>
      <c r="I184" s="9"/>
      <c r="J184" s="4"/>
    </row>
    <row r="185" ht="15.75" customHeight="1">
      <c r="A185" s="2" t="s">
        <v>247</v>
      </c>
      <c r="B185" s="2" t="s">
        <v>14</v>
      </c>
      <c r="C185" s="2" t="s">
        <v>248</v>
      </c>
      <c r="D185" s="2" t="s">
        <v>16</v>
      </c>
      <c r="E185" s="2">
        <v>0.0</v>
      </c>
      <c r="F185" s="4" t="s">
        <v>17</v>
      </c>
      <c r="G185" s="4" t="s">
        <v>18</v>
      </c>
      <c r="H185" s="10"/>
      <c r="I185" s="9"/>
      <c r="J185" s="4"/>
    </row>
    <row r="186" ht="15.75" customHeight="1">
      <c r="A186" s="2" t="s">
        <v>249</v>
      </c>
      <c r="B186" s="2" t="s">
        <v>14</v>
      </c>
      <c r="C186" s="2" t="s">
        <v>248</v>
      </c>
      <c r="D186" s="2" t="s">
        <v>16</v>
      </c>
      <c r="E186" s="2">
        <v>0.0</v>
      </c>
      <c r="F186" s="4" t="s">
        <v>17</v>
      </c>
      <c r="G186" s="4" t="s">
        <v>18</v>
      </c>
      <c r="H186" s="10"/>
      <c r="I186" s="9"/>
      <c r="J186" s="4"/>
    </row>
    <row r="187" ht="15.75" customHeight="1">
      <c r="A187" s="2" t="s">
        <v>250</v>
      </c>
      <c r="B187" s="2" t="s">
        <v>14</v>
      </c>
      <c r="C187" s="2" t="s">
        <v>226</v>
      </c>
      <c r="D187" s="2" t="s">
        <v>16</v>
      </c>
      <c r="E187" s="2">
        <v>1.0</v>
      </c>
      <c r="F187" s="4" t="s">
        <v>17</v>
      </c>
      <c r="G187" s="4" t="s">
        <v>18</v>
      </c>
      <c r="H187" s="10"/>
      <c r="I187" s="9"/>
      <c r="J187" s="4"/>
    </row>
    <row r="188" ht="15.75" customHeight="1">
      <c r="A188" s="2" t="s">
        <v>251</v>
      </c>
      <c r="B188" s="2" t="s">
        <v>14</v>
      </c>
      <c r="C188" s="2" t="s">
        <v>241</v>
      </c>
      <c r="D188" s="2" t="s">
        <v>16</v>
      </c>
      <c r="E188" s="3">
        <v>46054.0</v>
      </c>
      <c r="F188" s="4" t="s">
        <v>17</v>
      </c>
      <c r="G188" s="4" t="s">
        <v>18</v>
      </c>
      <c r="H188" s="10"/>
      <c r="I188" s="9"/>
      <c r="J188" s="4"/>
    </row>
    <row r="189" ht="15.75" customHeight="1">
      <c r="A189" s="2" t="s">
        <v>252</v>
      </c>
      <c r="B189" s="2" t="s">
        <v>14</v>
      </c>
      <c r="C189" s="2" t="s">
        <v>226</v>
      </c>
      <c r="D189" s="2" t="s">
        <v>16</v>
      </c>
      <c r="E189" s="2">
        <v>0.0</v>
      </c>
      <c r="F189" s="4" t="s">
        <v>17</v>
      </c>
      <c r="G189" s="4" t="s">
        <v>18</v>
      </c>
      <c r="H189" s="10"/>
      <c r="I189" s="9"/>
      <c r="J189" s="4"/>
    </row>
    <row r="190" ht="15.75" customHeight="1">
      <c r="A190" s="2" t="s">
        <v>253</v>
      </c>
      <c r="B190" s="2" t="s">
        <v>14</v>
      </c>
      <c r="C190" s="2" t="s">
        <v>222</v>
      </c>
      <c r="D190" s="2" t="s">
        <v>22</v>
      </c>
      <c r="E190" s="2">
        <v>0.0</v>
      </c>
      <c r="F190" s="4" t="s">
        <v>17</v>
      </c>
      <c r="G190" s="4" t="s">
        <v>18</v>
      </c>
      <c r="H190" s="10"/>
      <c r="I190" s="9"/>
      <c r="J190" s="4"/>
    </row>
    <row r="191" ht="15.75" customHeight="1">
      <c r="A191" s="2" t="s">
        <v>254</v>
      </c>
      <c r="B191" s="2" t="s">
        <v>14</v>
      </c>
      <c r="C191" s="2" t="s">
        <v>255</v>
      </c>
      <c r="D191" s="2"/>
      <c r="E191" s="2"/>
      <c r="F191" s="4" t="s">
        <v>17</v>
      </c>
      <c r="G191" s="4" t="s">
        <v>18</v>
      </c>
      <c r="H191" s="10"/>
      <c r="I191" s="9"/>
      <c r="J191" s="4"/>
    </row>
    <row r="192" ht="15.75" customHeight="1">
      <c r="A192" s="2" t="s">
        <v>256</v>
      </c>
      <c r="B192" s="2" t="s">
        <v>14</v>
      </c>
      <c r="C192" s="2" t="s">
        <v>255</v>
      </c>
      <c r="D192" s="2"/>
      <c r="E192" s="2"/>
      <c r="F192" s="4" t="s">
        <v>17</v>
      </c>
      <c r="G192" s="4" t="s">
        <v>18</v>
      </c>
      <c r="H192" s="10"/>
      <c r="I192" s="9"/>
      <c r="J192" s="4"/>
    </row>
    <row r="193" ht="15.75" customHeight="1">
      <c r="A193" s="2" t="s">
        <v>257</v>
      </c>
      <c r="B193" s="2" t="s">
        <v>14</v>
      </c>
      <c r="C193" s="2" t="s">
        <v>255</v>
      </c>
      <c r="D193" s="2"/>
      <c r="E193" s="2"/>
      <c r="F193" s="4" t="s">
        <v>17</v>
      </c>
      <c r="G193" s="4" t="s">
        <v>18</v>
      </c>
      <c r="H193" s="10"/>
      <c r="I193" s="9"/>
      <c r="J193" s="4"/>
    </row>
    <row r="194" ht="15.75" customHeight="1">
      <c r="A194" s="2" t="s">
        <v>258</v>
      </c>
      <c r="B194" s="2" t="s">
        <v>14</v>
      </c>
      <c r="C194" s="2" t="s">
        <v>229</v>
      </c>
      <c r="D194" s="2"/>
      <c r="E194" s="2"/>
      <c r="F194" s="4" t="s">
        <v>17</v>
      </c>
      <c r="G194" s="4" t="s">
        <v>18</v>
      </c>
      <c r="H194" s="10"/>
      <c r="I194" s="9"/>
      <c r="J194" s="4"/>
    </row>
    <row r="195" ht="15.75" customHeight="1">
      <c r="A195" s="2" t="s">
        <v>259</v>
      </c>
      <c r="B195" s="2" t="s">
        <v>14</v>
      </c>
      <c r="C195" s="2" t="s">
        <v>229</v>
      </c>
      <c r="D195" s="2"/>
      <c r="E195" s="2"/>
      <c r="F195" s="4" t="s">
        <v>17</v>
      </c>
      <c r="G195" s="4" t="s">
        <v>18</v>
      </c>
      <c r="H195" s="10"/>
      <c r="I195" s="9"/>
      <c r="J195" s="4"/>
    </row>
    <row r="196" ht="15.75" customHeight="1">
      <c r="A196" s="2" t="s">
        <v>260</v>
      </c>
      <c r="B196" s="2" t="s">
        <v>14</v>
      </c>
      <c r="C196" s="2" t="s">
        <v>229</v>
      </c>
      <c r="D196" s="2"/>
      <c r="E196" s="2"/>
      <c r="F196" s="4" t="s">
        <v>17</v>
      </c>
      <c r="G196" s="4" t="s">
        <v>18</v>
      </c>
      <c r="H196" s="10"/>
      <c r="I196" s="9"/>
      <c r="J196" s="4"/>
    </row>
    <row r="197" ht="15.75" customHeight="1">
      <c r="A197" s="2" t="s">
        <v>261</v>
      </c>
      <c r="B197" s="2" t="s">
        <v>14</v>
      </c>
      <c r="C197" s="2" t="s">
        <v>229</v>
      </c>
      <c r="D197" s="2"/>
      <c r="E197" s="2"/>
      <c r="F197" s="4" t="s">
        <v>17</v>
      </c>
      <c r="G197" s="4" t="s">
        <v>18</v>
      </c>
      <c r="H197" s="10"/>
      <c r="I197" s="9"/>
      <c r="J197" s="4"/>
    </row>
    <row r="198" ht="15.75" customHeight="1">
      <c r="A198" s="2" t="s">
        <v>262</v>
      </c>
      <c r="B198" s="2" t="s">
        <v>14</v>
      </c>
      <c r="C198" s="2" t="s">
        <v>229</v>
      </c>
      <c r="D198" s="2"/>
      <c r="E198" s="2"/>
      <c r="F198" s="4" t="s">
        <v>17</v>
      </c>
      <c r="G198" s="4" t="s">
        <v>18</v>
      </c>
      <c r="H198" s="10"/>
      <c r="I198" s="9"/>
      <c r="J198" s="4"/>
    </row>
    <row r="199" ht="15.75" customHeight="1">
      <c r="A199" s="2" t="s">
        <v>263</v>
      </c>
      <c r="B199" s="2" t="s">
        <v>14</v>
      </c>
      <c r="C199" s="2" t="s">
        <v>229</v>
      </c>
      <c r="D199" s="2"/>
      <c r="E199" s="2"/>
      <c r="F199" s="4" t="s">
        <v>17</v>
      </c>
      <c r="G199" s="4" t="s">
        <v>18</v>
      </c>
      <c r="H199" s="10"/>
      <c r="I199" s="9"/>
      <c r="J199" s="4"/>
    </row>
    <row r="200" ht="15.75" customHeight="1">
      <c r="A200" s="2" t="s">
        <v>264</v>
      </c>
      <c r="B200" s="2" t="s">
        <v>14</v>
      </c>
      <c r="C200" s="2" t="s">
        <v>229</v>
      </c>
      <c r="D200" s="2"/>
      <c r="E200" s="2"/>
      <c r="F200" s="4" t="s">
        <v>17</v>
      </c>
      <c r="G200" s="4" t="s">
        <v>18</v>
      </c>
      <c r="H200" s="10"/>
      <c r="I200" s="9"/>
      <c r="J200" s="4"/>
    </row>
    <row r="201" ht="15.75" customHeight="1">
      <c r="A201" s="2" t="s">
        <v>265</v>
      </c>
      <c r="B201" s="2" t="s">
        <v>14</v>
      </c>
      <c r="C201" s="2" t="s">
        <v>229</v>
      </c>
      <c r="D201" s="2"/>
      <c r="E201" s="2"/>
      <c r="F201" s="4" t="s">
        <v>17</v>
      </c>
      <c r="G201" s="4" t="s">
        <v>18</v>
      </c>
      <c r="H201" s="10"/>
      <c r="I201" s="9"/>
      <c r="J201" s="4"/>
    </row>
    <row r="202" ht="15.75" customHeight="1">
      <c r="A202" s="2" t="s">
        <v>266</v>
      </c>
      <c r="B202" s="2" t="s">
        <v>14</v>
      </c>
      <c r="C202" s="2" t="s">
        <v>234</v>
      </c>
      <c r="D202" s="2"/>
      <c r="E202" s="2"/>
      <c r="F202" s="4" t="s">
        <v>17</v>
      </c>
      <c r="G202" s="4" t="s">
        <v>18</v>
      </c>
      <c r="H202" s="10"/>
      <c r="I202" s="9"/>
      <c r="J202" s="4"/>
    </row>
    <row r="203" ht="15.75" customHeight="1">
      <c r="A203" s="2" t="s">
        <v>267</v>
      </c>
      <c r="B203" s="2" t="s">
        <v>14</v>
      </c>
      <c r="C203" s="2" t="s">
        <v>268</v>
      </c>
      <c r="D203" s="2"/>
      <c r="E203" s="2"/>
      <c r="F203" s="4" t="s">
        <v>17</v>
      </c>
      <c r="G203" s="4" t="s">
        <v>18</v>
      </c>
      <c r="H203" s="10"/>
      <c r="I203" s="9"/>
      <c r="J203" s="4"/>
    </row>
    <row r="204" ht="15.75" customHeight="1">
      <c r="A204" s="2" t="s">
        <v>269</v>
      </c>
      <c r="B204" s="2" t="s">
        <v>14</v>
      </c>
      <c r="C204" s="2" t="s">
        <v>270</v>
      </c>
      <c r="D204" s="2" t="s">
        <v>22</v>
      </c>
      <c r="E204" s="3">
        <v>46054.0</v>
      </c>
      <c r="F204" s="4" t="s">
        <v>17</v>
      </c>
      <c r="G204" s="4" t="s">
        <v>18</v>
      </c>
      <c r="H204" s="10"/>
      <c r="I204" s="9"/>
      <c r="J204" s="4"/>
    </row>
    <row r="205" ht="15.75" customHeight="1">
      <c r="A205" s="2" t="s">
        <v>271</v>
      </c>
      <c r="B205" s="2" t="s">
        <v>14</v>
      </c>
      <c r="C205" s="2" t="s">
        <v>237</v>
      </c>
      <c r="D205" s="2" t="s">
        <v>22</v>
      </c>
      <c r="E205" s="2"/>
      <c r="F205" s="4" t="s">
        <v>17</v>
      </c>
      <c r="G205" s="4" t="s">
        <v>18</v>
      </c>
      <c r="H205" s="10"/>
      <c r="I205" s="9"/>
      <c r="J205" s="4"/>
    </row>
    <row r="206" ht="15.75" customHeight="1">
      <c r="A206" s="2" t="s">
        <v>272</v>
      </c>
      <c r="B206" s="2" t="s">
        <v>14</v>
      </c>
      <c r="C206" s="2" t="s">
        <v>237</v>
      </c>
      <c r="D206" s="2" t="s">
        <v>22</v>
      </c>
      <c r="E206" s="3">
        <v>46083.0</v>
      </c>
      <c r="F206" s="4" t="s">
        <v>17</v>
      </c>
      <c r="G206" s="4" t="s">
        <v>18</v>
      </c>
      <c r="H206" s="10"/>
      <c r="I206" s="9"/>
      <c r="J206" s="4"/>
    </row>
    <row r="207" ht="15.75" customHeight="1">
      <c r="A207" s="2" t="s">
        <v>273</v>
      </c>
      <c r="B207" s="2" t="s">
        <v>14</v>
      </c>
      <c r="C207" s="2" t="s">
        <v>274</v>
      </c>
      <c r="D207" s="2"/>
      <c r="E207" s="2"/>
      <c r="F207" s="4" t="s">
        <v>17</v>
      </c>
      <c r="G207" s="4" t="s">
        <v>18</v>
      </c>
      <c r="H207" s="10"/>
      <c r="I207" s="9"/>
      <c r="J207" s="4"/>
    </row>
    <row r="208" ht="15.75" customHeight="1">
      <c r="A208" s="2" t="s">
        <v>275</v>
      </c>
      <c r="B208" s="2" t="s">
        <v>14</v>
      </c>
      <c r="C208" s="2" t="s">
        <v>274</v>
      </c>
      <c r="D208" s="2" t="s">
        <v>16</v>
      </c>
      <c r="E208" s="2"/>
      <c r="F208" s="4" t="s">
        <v>17</v>
      </c>
      <c r="G208" s="4" t="s">
        <v>18</v>
      </c>
      <c r="H208" s="10"/>
      <c r="I208" s="9"/>
      <c r="J208" s="4"/>
    </row>
    <row r="209" ht="15.75" customHeight="1">
      <c r="A209" s="2" t="s">
        <v>276</v>
      </c>
      <c r="B209" s="2" t="s">
        <v>14</v>
      </c>
      <c r="C209" s="2" t="s">
        <v>274</v>
      </c>
      <c r="D209" s="2"/>
      <c r="E209" s="2"/>
      <c r="F209" s="4" t="s">
        <v>17</v>
      </c>
      <c r="G209" s="4" t="s">
        <v>18</v>
      </c>
      <c r="H209" s="10"/>
      <c r="I209" s="9"/>
      <c r="J209" s="4"/>
    </row>
    <row r="210" ht="15.75" customHeight="1">
      <c r="A210" s="2" t="s">
        <v>277</v>
      </c>
      <c r="B210" s="2" t="s">
        <v>14</v>
      </c>
      <c r="C210" s="2" t="s">
        <v>274</v>
      </c>
      <c r="D210" s="2"/>
      <c r="E210" s="2"/>
      <c r="F210" s="4" t="s">
        <v>17</v>
      </c>
      <c r="G210" s="4" t="s">
        <v>18</v>
      </c>
      <c r="H210" s="10"/>
      <c r="I210" s="9"/>
      <c r="J210" s="4"/>
    </row>
    <row r="211" ht="15.75" customHeight="1">
      <c r="A211" s="2" t="s">
        <v>278</v>
      </c>
      <c r="B211" s="2" t="s">
        <v>14</v>
      </c>
      <c r="C211" s="2" t="s">
        <v>274</v>
      </c>
      <c r="D211" s="2"/>
      <c r="E211" s="2"/>
      <c r="F211" s="4" t="s">
        <v>17</v>
      </c>
      <c r="G211" s="4" t="s">
        <v>18</v>
      </c>
      <c r="H211" s="10"/>
      <c r="I211" s="9"/>
      <c r="J211" s="4"/>
    </row>
    <row r="212" ht="15.75" customHeight="1">
      <c r="A212" s="2" t="s">
        <v>279</v>
      </c>
      <c r="B212" s="2" t="s">
        <v>14</v>
      </c>
      <c r="C212" s="2" t="s">
        <v>274</v>
      </c>
      <c r="D212" s="2"/>
      <c r="E212" s="2"/>
      <c r="F212" s="4" t="s">
        <v>17</v>
      </c>
      <c r="G212" s="4" t="s">
        <v>18</v>
      </c>
      <c r="H212" s="10"/>
      <c r="I212" s="9"/>
      <c r="J212" s="4"/>
    </row>
    <row r="213" ht="15.75" customHeight="1">
      <c r="A213" s="2" t="s">
        <v>280</v>
      </c>
      <c r="B213" s="2" t="s">
        <v>14</v>
      </c>
      <c r="C213" s="2" t="s">
        <v>274</v>
      </c>
      <c r="D213" s="2"/>
      <c r="E213" s="2"/>
      <c r="F213" s="4" t="s">
        <v>17</v>
      </c>
      <c r="G213" s="4" t="s">
        <v>18</v>
      </c>
      <c r="H213" s="10"/>
      <c r="I213" s="9"/>
      <c r="J213" s="4"/>
    </row>
    <row r="214" ht="15.75" customHeight="1">
      <c r="A214" s="2" t="s">
        <v>281</v>
      </c>
      <c r="B214" s="2" t="s">
        <v>14</v>
      </c>
      <c r="C214" s="2" t="s">
        <v>274</v>
      </c>
      <c r="D214" s="2"/>
      <c r="E214" s="2"/>
      <c r="F214" s="4" t="s">
        <v>17</v>
      </c>
      <c r="G214" s="4" t="s">
        <v>18</v>
      </c>
      <c r="H214" s="10"/>
      <c r="I214" s="9"/>
      <c r="J214" s="4"/>
    </row>
    <row r="215" ht="15.75" customHeight="1">
      <c r="A215" s="2" t="s">
        <v>282</v>
      </c>
      <c r="B215" s="2" t="s">
        <v>14</v>
      </c>
      <c r="C215" s="2" t="s">
        <v>255</v>
      </c>
      <c r="D215" s="2"/>
      <c r="E215" s="2"/>
      <c r="F215" s="4" t="s">
        <v>17</v>
      </c>
      <c r="G215" s="4" t="s">
        <v>18</v>
      </c>
      <c r="H215" s="10"/>
      <c r="I215" s="9"/>
      <c r="J215" s="4"/>
    </row>
    <row r="216" ht="15.75" customHeight="1">
      <c r="A216" s="2" t="s">
        <v>283</v>
      </c>
      <c r="B216" s="2" t="s">
        <v>14</v>
      </c>
      <c r="C216" s="2" t="s">
        <v>220</v>
      </c>
      <c r="D216" s="2"/>
      <c r="E216" s="2"/>
      <c r="F216" s="4" t="s">
        <v>17</v>
      </c>
      <c r="G216" s="4" t="s">
        <v>18</v>
      </c>
      <c r="H216" s="10"/>
      <c r="I216" s="9"/>
      <c r="J216" s="4"/>
    </row>
    <row r="217" ht="15.75" customHeight="1">
      <c r="A217" s="2" t="s">
        <v>284</v>
      </c>
      <c r="B217" s="2" t="s">
        <v>14</v>
      </c>
      <c r="C217" s="2" t="s">
        <v>220</v>
      </c>
      <c r="D217" s="2"/>
      <c r="E217" s="2"/>
      <c r="F217" s="4" t="s">
        <v>17</v>
      </c>
      <c r="G217" s="4" t="s">
        <v>18</v>
      </c>
      <c r="H217" s="10"/>
      <c r="I217" s="9"/>
      <c r="J217" s="4"/>
    </row>
    <row r="218" ht="15.75" customHeight="1">
      <c r="A218" s="2" t="s">
        <v>285</v>
      </c>
      <c r="B218" s="2" t="s">
        <v>14</v>
      </c>
      <c r="C218" s="2" t="s">
        <v>286</v>
      </c>
      <c r="D218" s="2" t="s">
        <v>16</v>
      </c>
      <c r="E218" s="2">
        <v>0.0</v>
      </c>
      <c r="F218" s="4" t="s">
        <v>17</v>
      </c>
      <c r="G218" s="4" t="s">
        <v>18</v>
      </c>
      <c r="H218" s="10"/>
      <c r="I218" s="9"/>
      <c r="J218" s="4"/>
    </row>
    <row r="219" ht="15.75" customHeight="1">
      <c r="A219" s="2" t="s">
        <v>287</v>
      </c>
      <c r="B219" s="2" t="s">
        <v>14</v>
      </c>
      <c r="C219" s="2" t="s">
        <v>241</v>
      </c>
      <c r="D219" s="2"/>
      <c r="E219" s="2"/>
      <c r="F219" s="4" t="s">
        <v>17</v>
      </c>
      <c r="G219" s="4" t="s">
        <v>18</v>
      </c>
      <c r="H219" s="10"/>
      <c r="I219" s="9"/>
      <c r="J219" s="4"/>
    </row>
    <row r="220" ht="15.75" customHeight="1">
      <c r="A220" s="2" t="s">
        <v>288</v>
      </c>
      <c r="B220" s="2" t="s">
        <v>14</v>
      </c>
      <c r="C220" s="2" t="s">
        <v>237</v>
      </c>
      <c r="D220" s="2"/>
      <c r="E220" s="2"/>
      <c r="F220" s="4" t="s">
        <v>17</v>
      </c>
      <c r="G220" s="4" t="s">
        <v>18</v>
      </c>
      <c r="H220" s="12"/>
      <c r="I220" s="9"/>
      <c r="J220" s="4"/>
    </row>
    <row r="221" ht="15.75" customHeight="1">
      <c r="A221" s="2" t="s">
        <v>289</v>
      </c>
      <c r="B221" s="2" t="s">
        <v>14</v>
      </c>
      <c r="C221" s="2" t="s">
        <v>226</v>
      </c>
      <c r="D221" s="2"/>
      <c r="E221" s="2"/>
      <c r="F221" s="4" t="s">
        <v>17</v>
      </c>
      <c r="G221" s="4" t="s">
        <v>18</v>
      </c>
      <c r="H221" s="10"/>
      <c r="I221" s="9"/>
      <c r="J221" s="4"/>
    </row>
    <row r="222" ht="15.75" customHeight="1">
      <c r="A222" s="2" t="s">
        <v>290</v>
      </c>
      <c r="B222" s="2" t="s">
        <v>14</v>
      </c>
      <c r="C222" s="2" t="s">
        <v>226</v>
      </c>
      <c r="D222" s="2" t="s">
        <v>22</v>
      </c>
      <c r="E222" s="2">
        <v>0.0</v>
      </c>
      <c r="F222" s="4" t="s">
        <v>17</v>
      </c>
      <c r="G222" s="4" t="s">
        <v>18</v>
      </c>
      <c r="H222" s="10"/>
      <c r="I222" s="9"/>
      <c r="J222" s="4"/>
    </row>
    <row r="223" ht="15.75" customHeight="1">
      <c r="A223" s="2" t="s">
        <v>291</v>
      </c>
      <c r="B223" s="2" t="s">
        <v>14</v>
      </c>
      <c r="C223" s="2" t="s">
        <v>218</v>
      </c>
      <c r="D223" s="2"/>
      <c r="E223" s="2"/>
      <c r="F223" s="4" t="s">
        <v>17</v>
      </c>
      <c r="G223" s="4" t="s">
        <v>18</v>
      </c>
      <c r="H223" s="10"/>
      <c r="I223" s="9"/>
      <c r="J223" s="4"/>
    </row>
    <row r="224" ht="15.75" customHeight="1">
      <c r="A224" s="2" t="s">
        <v>292</v>
      </c>
      <c r="B224" s="2" t="s">
        <v>14</v>
      </c>
      <c r="C224" s="2" t="s">
        <v>293</v>
      </c>
      <c r="D224" s="2"/>
      <c r="E224" s="2"/>
      <c r="F224" s="4" t="s">
        <v>17</v>
      </c>
      <c r="G224" s="4" t="s">
        <v>18</v>
      </c>
      <c r="H224" s="10"/>
      <c r="I224" s="9"/>
      <c r="J224" s="4"/>
    </row>
    <row r="225" ht="15.75" customHeight="1">
      <c r="A225" s="2" t="s">
        <v>294</v>
      </c>
      <c r="B225" s="2" t="s">
        <v>14</v>
      </c>
      <c r="C225" s="2" t="s">
        <v>220</v>
      </c>
      <c r="D225" s="2"/>
      <c r="E225" s="2"/>
      <c r="F225" s="4" t="s">
        <v>17</v>
      </c>
      <c r="G225" s="4" t="s">
        <v>18</v>
      </c>
      <c r="H225" s="10"/>
      <c r="I225" s="9"/>
      <c r="J225" s="4"/>
    </row>
    <row r="226" ht="15.75" customHeight="1">
      <c r="A226" s="2" t="s">
        <v>295</v>
      </c>
      <c r="B226" s="2" t="s">
        <v>14</v>
      </c>
      <c r="C226" s="2" t="s">
        <v>255</v>
      </c>
      <c r="D226" s="2"/>
      <c r="E226" s="2"/>
      <c r="F226" s="4" t="s">
        <v>17</v>
      </c>
      <c r="G226" s="4" t="s">
        <v>18</v>
      </c>
      <c r="H226" s="10"/>
      <c r="I226" s="9"/>
      <c r="J226" s="4"/>
    </row>
    <row r="227" ht="15.75" customHeight="1">
      <c r="A227" s="2" t="s">
        <v>296</v>
      </c>
      <c r="B227" s="2" t="s">
        <v>14</v>
      </c>
      <c r="C227" s="2" t="s">
        <v>234</v>
      </c>
      <c r="D227" s="2"/>
      <c r="E227" s="2"/>
      <c r="F227" s="4" t="s">
        <v>17</v>
      </c>
      <c r="G227" s="4" t="s">
        <v>18</v>
      </c>
      <c r="H227" s="10"/>
      <c r="I227" s="9"/>
      <c r="J227" s="4"/>
    </row>
    <row r="228" ht="15.75" customHeight="1">
      <c r="A228" s="2" t="s">
        <v>297</v>
      </c>
      <c r="B228" s="2" t="s">
        <v>14</v>
      </c>
      <c r="C228" s="2" t="s">
        <v>234</v>
      </c>
      <c r="D228" s="2"/>
      <c r="E228" s="2"/>
      <c r="F228" s="4" t="s">
        <v>17</v>
      </c>
      <c r="G228" s="4" t="s">
        <v>18</v>
      </c>
      <c r="H228" s="10"/>
      <c r="I228" s="9"/>
      <c r="J228" s="4"/>
    </row>
    <row r="229" ht="15.75" customHeight="1">
      <c r="A229" s="2" t="s">
        <v>298</v>
      </c>
      <c r="B229" s="2" t="s">
        <v>14</v>
      </c>
      <c r="C229" s="2" t="s">
        <v>234</v>
      </c>
      <c r="D229" s="2"/>
      <c r="E229" s="2"/>
      <c r="F229" s="4" t="s">
        <v>17</v>
      </c>
      <c r="G229" s="4" t="s">
        <v>18</v>
      </c>
      <c r="H229" s="10"/>
      <c r="I229" s="9"/>
      <c r="J229" s="4"/>
    </row>
    <row r="230" ht="15.75" customHeight="1">
      <c r="A230" s="2" t="s">
        <v>299</v>
      </c>
      <c r="B230" s="2" t="s">
        <v>14</v>
      </c>
      <c r="C230" s="2" t="s">
        <v>243</v>
      </c>
      <c r="D230" s="2"/>
      <c r="E230" s="2"/>
      <c r="F230" s="4" t="s">
        <v>17</v>
      </c>
      <c r="G230" s="4" t="s">
        <v>18</v>
      </c>
      <c r="H230" s="10"/>
      <c r="I230" s="9"/>
      <c r="J230" s="4"/>
    </row>
    <row r="231" ht="15.75" customHeight="1">
      <c r="A231" s="2" t="s">
        <v>300</v>
      </c>
      <c r="B231" s="2" t="s">
        <v>14</v>
      </c>
      <c r="C231" s="2" t="s">
        <v>234</v>
      </c>
      <c r="D231" s="2"/>
      <c r="E231" s="2"/>
      <c r="F231" s="4" t="s">
        <v>17</v>
      </c>
      <c r="G231" s="4" t="s">
        <v>18</v>
      </c>
      <c r="H231" s="10"/>
      <c r="I231" s="9"/>
      <c r="J231" s="4"/>
    </row>
    <row r="232" ht="15.75" customHeight="1">
      <c r="A232" s="2" t="s">
        <v>301</v>
      </c>
      <c r="B232" s="2" t="s">
        <v>14</v>
      </c>
      <c r="C232" s="2" t="s">
        <v>248</v>
      </c>
      <c r="D232" s="2" t="s">
        <v>16</v>
      </c>
      <c r="E232" s="2">
        <v>0.0</v>
      </c>
      <c r="F232" s="4" t="s">
        <v>17</v>
      </c>
      <c r="G232" s="4" t="s">
        <v>18</v>
      </c>
      <c r="H232" s="10"/>
      <c r="I232" s="9"/>
      <c r="J232" s="4"/>
    </row>
    <row r="233" ht="15.75" customHeight="1">
      <c r="A233" s="2" t="s">
        <v>302</v>
      </c>
      <c r="B233" s="2" t="s">
        <v>14</v>
      </c>
      <c r="C233" s="2" t="s">
        <v>220</v>
      </c>
      <c r="D233" s="2" t="s">
        <v>33</v>
      </c>
      <c r="E233" s="2"/>
      <c r="F233" s="4" t="s">
        <v>17</v>
      </c>
      <c r="G233" s="4" t="s">
        <v>18</v>
      </c>
      <c r="H233" s="10"/>
      <c r="I233" s="9"/>
      <c r="J233" s="4"/>
    </row>
    <row r="234" ht="15.75" customHeight="1">
      <c r="A234" s="2" t="s">
        <v>303</v>
      </c>
      <c r="B234" s="2" t="s">
        <v>14</v>
      </c>
      <c r="C234" s="2" t="s">
        <v>226</v>
      </c>
      <c r="D234" s="2" t="s">
        <v>22</v>
      </c>
      <c r="E234" s="3">
        <v>46083.0</v>
      </c>
      <c r="F234" s="4" t="s">
        <v>17</v>
      </c>
      <c r="G234" s="4" t="s">
        <v>18</v>
      </c>
      <c r="H234" s="10"/>
      <c r="I234" s="9"/>
      <c r="J234" s="4"/>
    </row>
    <row r="235" ht="15.75" customHeight="1">
      <c r="A235" s="2" t="s">
        <v>304</v>
      </c>
      <c r="B235" s="2" t="s">
        <v>14</v>
      </c>
      <c r="C235" s="2" t="s">
        <v>293</v>
      </c>
      <c r="D235" s="2"/>
      <c r="E235" s="2"/>
      <c r="F235" s="4" t="s">
        <v>17</v>
      </c>
      <c r="G235" s="4" t="s">
        <v>18</v>
      </c>
      <c r="H235" s="10"/>
      <c r="I235" s="9"/>
      <c r="J235" s="4"/>
    </row>
    <row r="236" ht="15.75" customHeight="1">
      <c r="A236" s="2" t="s">
        <v>305</v>
      </c>
      <c r="B236" s="2" t="s">
        <v>14</v>
      </c>
      <c r="C236" s="2" t="s">
        <v>232</v>
      </c>
      <c r="D236" s="2"/>
      <c r="E236" s="2"/>
      <c r="F236" s="4" t="s">
        <v>17</v>
      </c>
      <c r="G236" s="4" t="s">
        <v>18</v>
      </c>
      <c r="H236" s="10"/>
      <c r="I236" s="9"/>
      <c r="J236" s="4"/>
    </row>
    <row r="237" ht="15.75" customHeight="1">
      <c r="A237" s="2" t="s">
        <v>306</v>
      </c>
      <c r="B237" s="2" t="s">
        <v>14</v>
      </c>
      <c r="C237" s="2" t="s">
        <v>226</v>
      </c>
      <c r="D237" s="2" t="s">
        <v>16</v>
      </c>
      <c r="E237" s="2">
        <v>0.0</v>
      </c>
      <c r="F237" s="4" t="s">
        <v>17</v>
      </c>
      <c r="G237" s="4" t="s">
        <v>18</v>
      </c>
      <c r="H237" s="10"/>
      <c r="I237" s="9"/>
      <c r="J237" s="4"/>
    </row>
    <row r="238" ht="15.75" customHeight="1">
      <c r="A238" s="2" t="s">
        <v>307</v>
      </c>
      <c r="B238" s="2" t="s">
        <v>14</v>
      </c>
      <c r="C238" s="2" t="s">
        <v>226</v>
      </c>
      <c r="D238" s="2" t="s">
        <v>22</v>
      </c>
      <c r="E238" s="3">
        <v>46054.0</v>
      </c>
      <c r="F238" s="4" t="s">
        <v>17</v>
      </c>
      <c r="G238" s="4" t="s">
        <v>18</v>
      </c>
      <c r="H238" s="10"/>
      <c r="I238" s="9"/>
      <c r="J238" s="4"/>
    </row>
    <row r="239" ht="15.75" customHeight="1">
      <c r="A239" s="2" t="s">
        <v>308</v>
      </c>
      <c r="B239" s="2" t="s">
        <v>14</v>
      </c>
      <c r="C239" s="2" t="s">
        <v>286</v>
      </c>
      <c r="D239" s="2"/>
      <c r="E239" s="2"/>
      <c r="F239" s="4" t="s">
        <v>17</v>
      </c>
      <c r="G239" s="4" t="s">
        <v>18</v>
      </c>
      <c r="H239" s="10"/>
      <c r="I239" s="9"/>
      <c r="J239" s="4"/>
    </row>
    <row r="240" ht="15.75" customHeight="1">
      <c r="A240" s="2" t="s">
        <v>309</v>
      </c>
      <c r="B240" s="2" t="s">
        <v>14</v>
      </c>
      <c r="C240" s="2" t="s">
        <v>220</v>
      </c>
      <c r="D240" s="2"/>
      <c r="E240" s="2"/>
      <c r="F240" s="4" t="s">
        <v>17</v>
      </c>
      <c r="G240" s="4" t="s">
        <v>18</v>
      </c>
      <c r="H240" s="10"/>
      <c r="I240" s="9"/>
      <c r="J240" s="4"/>
    </row>
    <row r="241" ht="15.75" customHeight="1">
      <c r="A241" s="2" t="s">
        <v>310</v>
      </c>
      <c r="B241" s="2" t="s">
        <v>14</v>
      </c>
      <c r="C241" s="2" t="s">
        <v>311</v>
      </c>
      <c r="D241" s="2"/>
      <c r="E241" s="2"/>
      <c r="F241" s="4" t="s">
        <v>17</v>
      </c>
      <c r="G241" s="4" t="s">
        <v>18</v>
      </c>
      <c r="H241" s="10"/>
      <c r="I241" s="9"/>
      <c r="J241" s="4"/>
    </row>
    <row r="242" ht="15.75" customHeight="1">
      <c r="A242" s="2" t="s">
        <v>312</v>
      </c>
      <c r="B242" s="2" t="s">
        <v>14</v>
      </c>
      <c r="C242" s="2" t="s">
        <v>232</v>
      </c>
      <c r="D242" s="2"/>
      <c r="E242" s="2"/>
      <c r="F242" s="4" t="s">
        <v>17</v>
      </c>
      <c r="G242" s="4" t="s">
        <v>18</v>
      </c>
      <c r="H242" s="10"/>
      <c r="I242" s="9"/>
      <c r="J242" s="4"/>
    </row>
    <row r="243" ht="15.75" customHeight="1">
      <c r="A243" s="2" t="s">
        <v>313</v>
      </c>
      <c r="B243" s="2" t="s">
        <v>14</v>
      </c>
      <c r="C243" s="2" t="s">
        <v>293</v>
      </c>
      <c r="D243" s="2"/>
      <c r="E243" s="2">
        <v>0.0</v>
      </c>
      <c r="F243" s="4" t="s">
        <v>17</v>
      </c>
      <c r="G243" s="4" t="s">
        <v>18</v>
      </c>
      <c r="H243" s="10"/>
      <c r="I243" s="9"/>
      <c r="J243" s="4"/>
    </row>
    <row r="244" ht="15.75" customHeight="1">
      <c r="A244" s="2" t="s">
        <v>314</v>
      </c>
      <c r="B244" s="2" t="s">
        <v>14</v>
      </c>
      <c r="C244" s="2" t="s">
        <v>268</v>
      </c>
      <c r="D244" s="2"/>
      <c r="E244" s="2"/>
      <c r="F244" s="4" t="s">
        <v>17</v>
      </c>
      <c r="G244" s="4" t="s">
        <v>18</v>
      </c>
      <c r="H244" s="10"/>
      <c r="I244" s="9"/>
      <c r="J244" s="4"/>
    </row>
    <row r="245" ht="15.75" customHeight="1">
      <c r="A245" s="2" t="s">
        <v>315</v>
      </c>
      <c r="B245" s="2" t="s">
        <v>14</v>
      </c>
      <c r="C245" s="2" t="s">
        <v>268</v>
      </c>
      <c r="D245" s="2"/>
      <c r="E245" s="2"/>
      <c r="F245" s="4" t="s">
        <v>17</v>
      </c>
      <c r="G245" s="4" t="s">
        <v>18</v>
      </c>
      <c r="H245" s="10"/>
      <c r="I245" s="9"/>
      <c r="J245" s="4"/>
    </row>
    <row r="246" ht="15.75" customHeight="1">
      <c r="A246" s="2" t="s">
        <v>316</v>
      </c>
      <c r="B246" s="2" t="s">
        <v>14</v>
      </c>
      <c r="C246" s="2" t="s">
        <v>216</v>
      </c>
      <c r="D246" s="2" t="s">
        <v>22</v>
      </c>
      <c r="E246" s="11" t="s">
        <v>123</v>
      </c>
      <c r="F246" s="4" t="s">
        <v>17</v>
      </c>
      <c r="G246" s="4" t="s">
        <v>18</v>
      </c>
      <c r="H246" s="10"/>
      <c r="I246" s="9"/>
      <c r="J246" s="4"/>
    </row>
    <row r="247" ht="15.75" customHeight="1">
      <c r="A247" s="2" t="s">
        <v>317</v>
      </c>
      <c r="B247" s="2" t="s">
        <v>14</v>
      </c>
      <c r="C247" s="2" t="s">
        <v>222</v>
      </c>
      <c r="D247" s="2"/>
      <c r="E247" s="2"/>
      <c r="F247" s="4" t="s">
        <v>17</v>
      </c>
      <c r="G247" s="4" t="s">
        <v>18</v>
      </c>
      <c r="H247" s="10"/>
      <c r="I247" s="9"/>
      <c r="J247" s="4"/>
    </row>
    <row r="248" ht="15.75" customHeight="1">
      <c r="A248" s="2" t="s">
        <v>318</v>
      </c>
      <c r="B248" s="2" t="s">
        <v>14</v>
      </c>
      <c r="C248" s="2" t="s">
        <v>286</v>
      </c>
      <c r="D248" s="2"/>
      <c r="E248" s="2"/>
      <c r="F248" s="4" t="s">
        <v>17</v>
      </c>
      <c r="G248" s="4" t="s">
        <v>18</v>
      </c>
      <c r="H248" s="10"/>
      <c r="I248" s="9"/>
      <c r="J248" s="4"/>
    </row>
    <row r="249" ht="15.75" customHeight="1">
      <c r="A249" s="2" t="s">
        <v>319</v>
      </c>
      <c r="B249" s="2" t="s">
        <v>14</v>
      </c>
      <c r="C249" s="2" t="s">
        <v>214</v>
      </c>
      <c r="D249" s="2"/>
      <c r="E249" s="2"/>
      <c r="F249" s="4" t="s">
        <v>17</v>
      </c>
      <c r="G249" s="4" t="s">
        <v>18</v>
      </c>
      <c r="H249" s="10"/>
      <c r="I249" s="9"/>
      <c r="J249" s="4"/>
    </row>
    <row r="250" ht="15.75" customHeight="1">
      <c r="A250" s="2" t="s">
        <v>320</v>
      </c>
      <c r="B250" s="2" t="s">
        <v>14</v>
      </c>
      <c r="C250" s="2" t="s">
        <v>311</v>
      </c>
      <c r="D250" s="2" t="s">
        <v>16</v>
      </c>
      <c r="E250" s="3">
        <v>46145.0</v>
      </c>
      <c r="F250" s="4" t="s">
        <v>17</v>
      </c>
      <c r="G250" s="4" t="s">
        <v>18</v>
      </c>
      <c r="H250" s="10"/>
      <c r="I250" s="9"/>
      <c r="J250" s="4"/>
    </row>
    <row r="251" ht="15.75" customHeight="1">
      <c r="A251" s="2" t="s">
        <v>321</v>
      </c>
      <c r="B251" s="2" t="s">
        <v>14</v>
      </c>
      <c r="C251" s="2" t="s">
        <v>311</v>
      </c>
      <c r="D251" s="2" t="s">
        <v>22</v>
      </c>
      <c r="E251" s="3">
        <v>46054.0</v>
      </c>
      <c r="F251" s="4" t="s">
        <v>17</v>
      </c>
      <c r="G251" s="4" t="s">
        <v>18</v>
      </c>
      <c r="H251" s="10"/>
      <c r="I251" s="9"/>
      <c r="J251" s="4"/>
    </row>
    <row r="252" ht="15.75" customHeight="1">
      <c r="A252" s="2" t="s">
        <v>322</v>
      </c>
      <c r="B252" s="2" t="s">
        <v>14</v>
      </c>
      <c r="C252" s="2" t="s">
        <v>311</v>
      </c>
      <c r="D252" s="2" t="s">
        <v>33</v>
      </c>
      <c r="E252" s="3">
        <v>46083.0</v>
      </c>
      <c r="F252" s="4" t="s">
        <v>17</v>
      </c>
      <c r="G252" s="4" t="s">
        <v>18</v>
      </c>
      <c r="H252" s="10"/>
      <c r="I252" s="9"/>
      <c r="J252" s="4"/>
    </row>
    <row r="253" ht="15.75" customHeight="1">
      <c r="A253" s="2" t="s">
        <v>323</v>
      </c>
      <c r="B253" s="2" t="s">
        <v>14</v>
      </c>
      <c r="C253" s="2" t="s">
        <v>311</v>
      </c>
      <c r="D253" s="2" t="s">
        <v>22</v>
      </c>
      <c r="E253" s="3">
        <v>46083.0</v>
      </c>
      <c r="F253" s="4" t="s">
        <v>17</v>
      </c>
      <c r="G253" s="4" t="s">
        <v>18</v>
      </c>
      <c r="H253" s="10"/>
      <c r="I253" s="9"/>
      <c r="J253" s="4"/>
    </row>
    <row r="254" ht="15.75" customHeight="1">
      <c r="A254" s="2" t="s">
        <v>324</v>
      </c>
      <c r="B254" s="2" t="s">
        <v>14</v>
      </c>
      <c r="C254" s="2" t="s">
        <v>311</v>
      </c>
      <c r="D254" s="2"/>
      <c r="E254" s="2">
        <v>0.0</v>
      </c>
      <c r="F254" s="4" t="s">
        <v>17</v>
      </c>
      <c r="G254" s="4" t="s">
        <v>18</v>
      </c>
      <c r="H254" s="10"/>
      <c r="I254" s="9"/>
      <c r="J254" s="4"/>
    </row>
    <row r="255" ht="15.75" customHeight="1">
      <c r="A255" s="2" t="s">
        <v>325</v>
      </c>
      <c r="B255" s="2" t="s">
        <v>14</v>
      </c>
      <c r="C255" s="2" t="s">
        <v>311</v>
      </c>
      <c r="D255" s="2" t="s">
        <v>16</v>
      </c>
      <c r="E255" s="2">
        <v>0.0</v>
      </c>
      <c r="F255" s="4" t="s">
        <v>17</v>
      </c>
      <c r="G255" s="4" t="s">
        <v>18</v>
      </c>
      <c r="H255" s="10"/>
      <c r="I255" s="9"/>
      <c r="J255" s="4"/>
    </row>
    <row r="256" ht="15.75" customHeight="1">
      <c r="A256" s="2" t="s">
        <v>326</v>
      </c>
      <c r="B256" s="2" t="s">
        <v>14</v>
      </c>
      <c r="C256" s="2" t="s">
        <v>293</v>
      </c>
      <c r="D256" s="2"/>
      <c r="E256" s="2"/>
      <c r="F256" s="4" t="s">
        <v>17</v>
      </c>
      <c r="G256" s="4" t="s">
        <v>18</v>
      </c>
      <c r="H256" s="10"/>
      <c r="I256" s="9"/>
      <c r="J256" s="4"/>
    </row>
    <row r="257" ht="15.75" customHeight="1">
      <c r="A257" s="2" t="s">
        <v>327</v>
      </c>
      <c r="B257" s="2" t="s">
        <v>14</v>
      </c>
      <c r="C257" s="2" t="s">
        <v>241</v>
      </c>
      <c r="D257" s="2"/>
      <c r="E257" s="2">
        <v>0.0</v>
      </c>
      <c r="F257" s="4" t="s">
        <v>17</v>
      </c>
      <c r="G257" s="4" t="s">
        <v>18</v>
      </c>
      <c r="H257" s="10"/>
      <c r="I257" s="9"/>
      <c r="J257" s="4"/>
    </row>
    <row r="258" ht="15.75" customHeight="1">
      <c r="A258" s="2" t="s">
        <v>328</v>
      </c>
      <c r="B258" s="2" t="s">
        <v>14</v>
      </c>
      <c r="C258" s="2" t="s">
        <v>293</v>
      </c>
      <c r="D258" s="2" t="s">
        <v>22</v>
      </c>
      <c r="E258" s="2"/>
      <c r="F258" s="4" t="s">
        <v>17</v>
      </c>
      <c r="G258" s="4" t="s">
        <v>18</v>
      </c>
      <c r="H258" s="10"/>
      <c r="I258" s="9"/>
      <c r="J258" s="4"/>
    </row>
    <row r="259" ht="15.75" customHeight="1">
      <c r="A259" s="2" t="s">
        <v>329</v>
      </c>
      <c r="B259" s="2" t="s">
        <v>14</v>
      </c>
      <c r="C259" s="2" t="s">
        <v>293</v>
      </c>
      <c r="D259" s="2"/>
      <c r="E259" s="2"/>
      <c r="F259" s="4" t="s">
        <v>17</v>
      </c>
      <c r="G259" s="4" t="s">
        <v>18</v>
      </c>
      <c r="H259" s="10"/>
      <c r="I259" s="9"/>
      <c r="J259" s="4"/>
    </row>
    <row r="260" ht="15.75" customHeight="1">
      <c r="A260" s="2" t="s">
        <v>330</v>
      </c>
      <c r="B260" s="2" t="s">
        <v>14</v>
      </c>
      <c r="C260" s="2" t="s">
        <v>293</v>
      </c>
      <c r="D260" s="2" t="s">
        <v>33</v>
      </c>
      <c r="E260" s="2"/>
      <c r="F260" s="4" t="s">
        <v>17</v>
      </c>
      <c r="G260" s="4" t="s">
        <v>18</v>
      </c>
      <c r="H260" s="10"/>
      <c r="I260" s="9"/>
      <c r="J260" s="4"/>
    </row>
    <row r="261" ht="15.75" customHeight="1">
      <c r="A261" s="2" t="s">
        <v>331</v>
      </c>
      <c r="B261" s="2" t="s">
        <v>14</v>
      </c>
      <c r="C261" s="2" t="s">
        <v>293</v>
      </c>
      <c r="D261" s="2"/>
      <c r="E261" s="2"/>
      <c r="F261" s="4" t="s">
        <v>17</v>
      </c>
      <c r="G261" s="4" t="s">
        <v>18</v>
      </c>
      <c r="H261" s="10"/>
      <c r="I261" s="9"/>
      <c r="J261" s="4"/>
    </row>
    <row r="262" ht="15.75" customHeight="1">
      <c r="A262" s="2" t="s">
        <v>332</v>
      </c>
      <c r="B262" s="2" t="s">
        <v>14</v>
      </c>
      <c r="C262" s="2" t="s">
        <v>333</v>
      </c>
      <c r="D262" s="2" t="s">
        <v>16</v>
      </c>
      <c r="E262" s="2">
        <v>0.0</v>
      </c>
      <c r="F262" s="4" t="s">
        <v>17</v>
      </c>
      <c r="G262" s="4" t="s">
        <v>18</v>
      </c>
      <c r="H262" s="10"/>
      <c r="I262" s="9"/>
      <c r="J262" s="4"/>
    </row>
    <row r="263" ht="15.75" customHeight="1">
      <c r="A263" s="2" t="s">
        <v>334</v>
      </c>
      <c r="B263" s="2" t="s">
        <v>14</v>
      </c>
      <c r="C263" s="2" t="s">
        <v>268</v>
      </c>
      <c r="D263" s="2"/>
      <c r="E263" s="2"/>
      <c r="F263" s="4" t="s">
        <v>17</v>
      </c>
      <c r="G263" s="4" t="s">
        <v>18</v>
      </c>
      <c r="H263" s="10"/>
      <c r="I263" s="9"/>
      <c r="J263" s="4"/>
    </row>
    <row r="264" ht="15.75" customHeight="1">
      <c r="A264" s="2" t="s">
        <v>335</v>
      </c>
      <c r="B264" s="2" t="s">
        <v>14</v>
      </c>
      <c r="C264" s="2" t="s">
        <v>241</v>
      </c>
      <c r="D264" s="2" t="s">
        <v>22</v>
      </c>
      <c r="E264" s="2">
        <v>0.0</v>
      </c>
      <c r="F264" s="4" t="s">
        <v>17</v>
      </c>
      <c r="G264" s="4" t="s">
        <v>18</v>
      </c>
      <c r="H264" s="10"/>
      <c r="I264" s="9"/>
      <c r="J264" s="4"/>
    </row>
    <row r="265" ht="15.75" customHeight="1">
      <c r="A265" s="2" t="s">
        <v>336</v>
      </c>
      <c r="B265" s="2" t="s">
        <v>14</v>
      </c>
      <c r="C265" s="2" t="s">
        <v>229</v>
      </c>
      <c r="D265" s="2"/>
      <c r="E265" s="2"/>
      <c r="F265" s="4" t="s">
        <v>17</v>
      </c>
      <c r="G265" s="4" t="s">
        <v>18</v>
      </c>
      <c r="H265" s="10"/>
      <c r="I265" s="9"/>
      <c r="J265" s="4"/>
    </row>
    <row r="266" ht="15.75" customHeight="1">
      <c r="A266" s="2" t="s">
        <v>337</v>
      </c>
      <c r="B266" s="2" t="s">
        <v>14</v>
      </c>
      <c r="C266" s="2" t="s">
        <v>293</v>
      </c>
      <c r="D266" s="2"/>
      <c r="E266" s="2"/>
      <c r="F266" s="4" t="s">
        <v>17</v>
      </c>
      <c r="G266" s="4" t="s">
        <v>18</v>
      </c>
      <c r="H266" s="10"/>
      <c r="I266" s="9"/>
      <c r="J266" s="4"/>
    </row>
    <row r="267" ht="15.75" customHeight="1">
      <c r="A267" s="2" t="s">
        <v>338</v>
      </c>
      <c r="B267" s="2" t="s">
        <v>14</v>
      </c>
      <c r="C267" s="2" t="s">
        <v>237</v>
      </c>
      <c r="D267" s="2"/>
      <c r="E267" s="2"/>
      <c r="F267" s="4" t="s">
        <v>17</v>
      </c>
      <c r="G267" s="4" t="s">
        <v>18</v>
      </c>
      <c r="H267" s="10"/>
      <c r="I267" s="9"/>
      <c r="J267" s="4"/>
    </row>
    <row r="268" ht="15.75" customHeight="1">
      <c r="A268" s="2" t="s">
        <v>339</v>
      </c>
      <c r="B268" s="2" t="s">
        <v>14</v>
      </c>
      <c r="C268" s="2" t="s">
        <v>214</v>
      </c>
      <c r="D268" s="2"/>
      <c r="E268" s="2"/>
      <c r="F268" s="4" t="s">
        <v>17</v>
      </c>
      <c r="G268" s="4" t="s">
        <v>18</v>
      </c>
      <c r="H268" s="10"/>
      <c r="I268" s="9"/>
      <c r="J268" s="4"/>
    </row>
    <row r="269" ht="15.75" customHeight="1">
      <c r="A269" s="2" t="s">
        <v>340</v>
      </c>
      <c r="B269" s="2" t="s">
        <v>14</v>
      </c>
      <c r="C269" s="2" t="s">
        <v>214</v>
      </c>
      <c r="D269" s="2"/>
      <c r="E269" s="2"/>
      <c r="F269" s="4" t="s">
        <v>17</v>
      </c>
      <c r="G269" s="4" t="s">
        <v>18</v>
      </c>
      <c r="H269" s="10"/>
      <c r="I269" s="9"/>
      <c r="J269" s="4"/>
    </row>
    <row r="270" ht="15.75" customHeight="1">
      <c r="A270" s="2" t="s">
        <v>341</v>
      </c>
      <c r="B270" s="2" t="s">
        <v>14</v>
      </c>
      <c r="C270" s="2" t="s">
        <v>311</v>
      </c>
      <c r="D270" s="2" t="s">
        <v>22</v>
      </c>
      <c r="E270" s="11" t="s">
        <v>123</v>
      </c>
      <c r="F270" s="4" t="s">
        <v>17</v>
      </c>
      <c r="G270" s="4" t="s">
        <v>18</v>
      </c>
      <c r="H270" s="10"/>
      <c r="I270" s="9"/>
      <c r="J270" s="4"/>
    </row>
    <row r="271" ht="15.75" customHeight="1">
      <c r="A271" s="2" t="s">
        <v>342</v>
      </c>
      <c r="B271" s="2" t="s">
        <v>14</v>
      </c>
      <c r="C271" s="2" t="s">
        <v>343</v>
      </c>
      <c r="D271" s="2"/>
      <c r="E271" s="2"/>
      <c r="F271" s="4" t="s">
        <v>17</v>
      </c>
      <c r="G271" s="4" t="s">
        <v>18</v>
      </c>
      <c r="H271" s="10"/>
      <c r="I271" s="9"/>
      <c r="J271" s="4"/>
    </row>
    <row r="272" ht="15.75" customHeight="1">
      <c r="A272" s="2" t="s">
        <v>344</v>
      </c>
      <c r="B272" s="2" t="s">
        <v>14</v>
      </c>
      <c r="C272" s="2" t="s">
        <v>343</v>
      </c>
      <c r="D272" s="2"/>
      <c r="E272" s="2"/>
      <c r="F272" s="4" t="s">
        <v>17</v>
      </c>
      <c r="G272" s="4" t="s">
        <v>18</v>
      </c>
      <c r="H272" s="10"/>
      <c r="I272" s="9"/>
      <c r="J272" s="4"/>
    </row>
    <row r="273" ht="15.75" customHeight="1">
      <c r="A273" s="2" t="s">
        <v>345</v>
      </c>
      <c r="B273" s="2" t="s">
        <v>14</v>
      </c>
      <c r="C273" s="2" t="s">
        <v>243</v>
      </c>
      <c r="D273" s="2"/>
      <c r="E273" s="2"/>
      <c r="F273" s="4" t="s">
        <v>17</v>
      </c>
      <c r="G273" s="4" t="s">
        <v>18</v>
      </c>
      <c r="H273" s="10"/>
      <c r="I273" s="9"/>
      <c r="J273" s="4"/>
    </row>
    <row r="274" ht="15.75" customHeight="1">
      <c r="A274" s="2" t="s">
        <v>346</v>
      </c>
      <c r="B274" s="2" t="s">
        <v>14</v>
      </c>
      <c r="C274" s="2" t="s">
        <v>268</v>
      </c>
      <c r="D274" s="2"/>
      <c r="E274" s="2"/>
      <c r="F274" s="4" t="s">
        <v>17</v>
      </c>
      <c r="G274" s="4" t="s">
        <v>18</v>
      </c>
      <c r="H274" s="10"/>
      <c r="I274" s="9"/>
      <c r="J274" s="4"/>
    </row>
    <row r="275" ht="15.75" customHeight="1">
      <c r="A275" s="2" t="s">
        <v>347</v>
      </c>
      <c r="B275" s="2" t="s">
        <v>14</v>
      </c>
      <c r="C275" s="2" t="s">
        <v>348</v>
      </c>
      <c r="D275" s="2"/>
      <c r="E275" s="2"/>
      <c r="F275" s="4" t="s">
        <v>17</v>
      </c>
      <c r="G275" s="4" t="s">
        <v>18</v>
      </c>
      <c r="H275" s="10"/>
      <c r="I275" s="9"/>
      <c r="J275" s="4"/>
    </row>
    <row r="276" ht="15.75" customHeight="1">
      <c r="A276" s="2" t="s">
        <v>349</v>
      </c>
      <c r="B276" s="2" t="s">
        <v>14</v>
      </c>
      <c r="C276" s="2" t="s">
        <v>270</v>
      </c>
      <c r="D276" s="2"/>
      <c r="E276" s="2"/>
      <c r="F276" s="4" t="s">
        <v>17</v>
      </c>
      <c r="G276" s="4" t="s">
        <v>18</v>
      </c>
      <c r="H276" s="10"/>
      <c r="I276" s="9"/>
      <c r="J276" s="4"/>
    </row>
    <row r="277" ht="15.75" customHeight="1">
      <c r="A277" s="2" t="s">
        <v>350</v>
      </c>
      <c r="B277" s="2" t="s">
        <v>14</v>
      </c>
      <c r="C277" s="2" t="s">
        <v>220</v>
      </c>
      <c r="D277" s="2"/>
      <c r="E277" s="2"/>
      <c r="F277" s="4" t="s">
        <v>17</v>
      </c>
      <c r="G277" s="4" t="s">
        <v>18</v>
      </c>
      <c r="H277" s="10"/>
      <c r="I277" s="9"/>
      <c r="J277" s="4"/>
    </row>
    <row r="278" ht="15.75" customHeight="1">
      <c r="A278" s="2" t="s">
        <v>351</v>
      </c>
      <c r="B278" s="2" t="s">
        <v>14</v>
      </c>
      <c r="C278" s="2" t="s">
        <v>243</v>
      </c>
      <c r="D278" s="2"/>
      <c r="E278" s="3">
        <v>46054.0</v>
      </c>
      <c r="F278" s="4" t="s">
        <v>17</v>
      </c>
      <c r="G278" s="4" t="s">
        <v>18</v>
      </c>
      <c r="H278" s="10"/>
      <c r="I278" s="9"/>
      <c r="J278" s="4"/>
    </row>
    <row r="279" ht="15.75" customHeight="1">
      <c r="A279" s="2" t="s">
        <v>352</v>
      </c>
      <c r="B279" s="2" t="s">
        <v>14</v>
      </c>
      <c r="C279" s="2" t="s">
        <v>243</v>
      </c>
      <c r="D279" s="2" t="s">
        <v>22</v>
      </c>
      <c r="E279" s="3">
        <v>46145.0</v>
      </c>
      <c r="F279" s="4" t="s">
        <v>17</v>
      </c>
      <c r="G279" s="4" t="s">
        <v>18</v>
      </c>
      <c r="H279" s="4"/>
      <c r="I279" s="4"/>
      <c r="J279" s="4"/>
    </row>
    <row r="280" ht="15.75" customHeight="1">
      <c r="A280" s="13" t="s">
        <v>353</v>
      </c>
      <c r="B280" s="14" t="s">
        <v>354</v>
      </c>
      <c r="C280" s="14" t="s">
        <v>355</v>
      </c>
      <c r="D280" s="15"/>
      <c r="E280" s="15"/>
      <c r="F280" s="4" t="s">
        <v>17</v>
      </c>
      <c r="G280" s="4" t="s">
        <v>18</v>
      </c>
      <c r="H280" s="4"/>
      <c r="I280" s="4"/>
      <c r="J280" s="4"/>
    </row>
    <row r="281" ht="15.75" customHeight="1">
      <c r="A281" s="16" t="s">
        <v>356</v>
      </c>
      <c r="B281" s="14" t="s">
        <v>354</v>
      </c>
      <c r="C281" s="14" t="s">
        <v>357</v>
      </c>
      <c r="D281" s="17" t="s">
        <v>33</v>
      </c>
      <c r="E281" s="18">
        <v>46115.0</v>
      </c>
      <c r="F281" s="4" t="s">
        <v>17</v>
      </c>
      <c r="G281" s="4" t="s">
        <v>18</v>
      </c>
      <c r="H281" s="4"/>
      <c r="I281" s="4"/>
      <c r="J281" s="4"/>
    </row>
    <row r="282" ht="15.75" customHeight="1">
      <c r="A282" s="19" t="s">
        <v>358</v>
      </c>
      <c r="B282" s="14" t="s">
        <v>354</v>
      </c>
      <c r="C282" s="14" t="s">
        <v>359</v>
      </c>
      <c r="D282" s="17"/>
      <c r="E282" s="17"/>
      <c r="F282" s="4" t="s">
        <v>17</v>
      </c>
      <c r="G282" s="4" t="s">
        <v>18</v>
      </c>
      <c r="H282" s="4"/>
      <c r="I282" s="4"/>
      <c r="J282" s="4"/>
    </row>
    <row r="283" ht="15.75" customHeight="1">
      <c r="A283" s="13" t="s">
        <v>360</v>
      </c>
      <c r="B283" s="14" t="s">
        <v>354</v>
      </c>
      <c r="C283" s="14" t="s">
        <v>355</v>
      </c>
      <c r="D283" s="17" t="s">
        <v>16</v>
      </c>
      <c r="E283" s="18">
        <v>46114.0</v>
      </c>
      <c r="F283" s="4" t="s">
        <v>17</v>
      </c>
      <c r="G283" s="4" t="s">
        <v>18</v>
      </c>
      <c r="H283" s="4"/>
      <c r="I283" s="4"/>
      <c r="J283" s="4"/>
    </row>
    <row r="284" ht="15.75" customHeight="1">
      <c r="A284" s="13" t="s">
        <v>361</v>
      </c>
      <c r="B284" s="14" t="s">
        <v>354</v>
      </c>
      <c r="C284" s="14" t="s">
        <v>355</v>
      </c>
      <c r="D284" s="17"/>
      <c r="E284" s="18">
        <v>46115.0</v>
      </c>
      <c r="F284" s="4" t="s">
        <v>17</v>
      </c>
      <c r="G284" s="4" t="s">
        <v>18</v>
      </c>
      <c r="H284" s="4"/>
      <c r="I284" s="4"/>
      <c r="J284" s="4"/>
    </row>
    <row r="285" ht="15.75" customHeight="1">
      <c r="A285" s="20" t="s">
        <v>362</v>
      </c>
      <c r="B285" s="14" t="s">
        <v>354</v>
      </c>
      <c r="C285" s="14" t="s">
        <v>355</v>
      </c>
      <c r="D285" s="17" t="s">
        <v>33</v>
      </c>
      <c r="E285" s="21">
        <v>46083.0</v>
      </c>
      <c r="F285" s="4" t="s">
        <v>17</v>
      </c>
      <c r="G285" s="4" t="s">
        <v>18</v>
      </c>
      <c r="H285" s="4"/>
      <c r="I285" s="4"/>
      <c r="J285" s="4"/>
    </row>
    <row r="286" ht="15.75" customHeight="1">
      <c r="A286" s="22" t="s">
        <v>363</v>
      </c>
      <c r="B286" s="14" t="s">
        <v>354</v>
      </c>
      <c r="C286" s="14" t="s">
        <v>357</v>
      </c>
      <c r="D286" s="17"/>
      <c r="E286" s="17"/>
      <c r="F286" s="4" t="s">
        <v>17</v>
      </c>
      <c r="G286" s="4" t="s">
        <v>18</v>
      </c>
      <c r="H286" s="4"/>
      <c r="I286" s="4"/>
      <c r="J286" s="4"/>
    </row>
    <row r="287" ht="15.75" customHeight="1">
      <c r="A287" s="20" t="s">
        <v>364</v>
      </c>
      <c r="B287" s="14" t="s">
        <v>354</v>
      </c>
      <c r="C287" s="14" t="s">
        <v>365</v>
      </c>
      <c r="D287" s="17"/>
      <c r="E287" s="17"/>
      <c r="F287" s="4" t="s">
        <v>17</v>
      </c>
      <c r="G287" s="4" t="s">
        <v>18</v>
      </c>
      <c r="H287" s="4"/>
      <c r="I287" s="4"/>
      <c r="J287" s="4"/>
    </row>
    <row r="288" ht="15.75" customHeight="1">
      <c r="A288" s="22" t="s">
        <v>366</v>
      </c>
      <c r="B288" s="14" t="s">
        <v>354</v>
      </c>
      <c r="C288" s="14" t="s">
        <v>359</v>
      </c>
      <c r="D288" s="17"/>
      <c r="E288" s="21">
        <v>46054.0</v>
      </c>
      <c r="F288" s="4" t="s">
        <v>17</v>
      </c>
      <c r="G288" s="4" t="s">
        <v>18</v>
      </c>
      <c r="H288" s="4"/>
      <c r="I288" s="4"/>
      <c r="J288" s="4"/>
    </row>
    <row r="289" ht="15.75" customHeight="1">
      <c r="A289" s="22" t="s">
        <v>367</v>
      </c>
      <c r="B289" s="14" t="s">
        <v>354</v>
      </c>
      <c r="C289" s="14" t="s">
        <v>359</v>
      </c>
      <c r="D289" s="17"/>
      <c r="E289" s="21">
        <v>46083.0</v>
      </c>
      <c r="F289" s="4" t="s">
        <v>17</v>
      </c>
      <c r="G289" s="4" t="s">
        <v>18</v>
      </c>
      <c r="H289" s="4"/>
      <c r="I289" s="4"/>
      <c r="J289" s="4"/>
    </row>
    <row r="290" ht="15.75" customHeight="1">
      <c r="A290" s="20" t="s">
        <v>368</v>
      </c>
      <c r="B290" s="14" t="s">
        <v>354</v>
      </c>
      <c r="C290" s="14" t="s">
        <v>355</v>
      </c>
      <c r="D290" s="17"/>
      <c r="E290" s="21">
        <v>46083.0</v>
      </c>
      <c r="F290" s="4" t="s">
        <v>17</v>
      </c>
      <c r="G290" s="4" t="s">
        <v>18</v>
      </c>
      <c r="H290" s="4"/>
      <c r="I290" s="4"/>
      <c r="J290" s="4"/>
    </row>
    <row r="291" ht="15.75" customHeight="1">
      <c r="A291" s="20" t="s">
        <v>369</v>
      </c>
      <c r="B291" s="14" t="s">
        <v>354</v>
      </c>
      <c r="C291" s="14" t="s">
        <v>359</v>
      </c>
      <c r="D291" s="17" t="s">
        <v>33</v>
      </c>
      <c r="E291" s="17">
        <v>2.0</v>
      </c>
      <c r="F291" s="4" t="s">
        <v>17</v>
      </c>
      <c r="G291" s="4" t="s">
        <v>18</v>
      </c>
      <c r="H291" s="4"/>
      <c r="I291" s="4"/>
      <c r="J291" s="4"/>
    </row>
    <row r="292" ht="15.75" customHeight="1">
      <c r="A292" s="22" t="s">
        <v>370</v>
      </c>
      <c r="B292" s="14" t="s">
        <v>354</v>
      </c>
      <c r="C292" s="14" t="s">
        <v>355</v>
      </c>
      <c r="D292" s="17"/>
      <c r="E292" s="17"/>
      <c r="F292" s="4" t="s">
        <v>17</v>
      </c>
      <c r="G292" s="4" t="s">
        <v>18</v>
      </c>
      <c r="H292" s="4"/>
      <c r="I292" s="4"/>
      <c r="J292" s="4"/>
    </row>
    <row r="293" ht="15.75" customHeight="1">
      <c r="A293" s="20" t="s">
        <v>371</v>
      </c>
      <c r="B293" s="14" t="s">
        <v>354</v>
      </c>
      <c r="C293" s="14" t="s">
        <v>365</v>
      </c>
      <c r="D293" s="17"/>
      <c r="E293" s="17"/>
      <c r="F293" s="4" t="s">
        <v>17</v>
      </c>
      <c r="G293" s="4" t="s">
        <v>18</v>
      </c>
      <c r="H293" s="4"/>
      <c r="I293" s="4"/>
      <c r="J293" s="4"/>
    </row>
    <row r="294" ht="15.75" customHeight="1">
      <c r="A294" s="22" t="s">
        <v>372</v>
      </c>
      <c r="B294" s="14" t="s">
        <v>354</v>
      </c>
      <c r="C294" s="14" t="s">
        <v>355</v>
      </c>
      <c r="D294" s="17" t="s">
        <v>16</v>
      </c>
      <c r="E294" s="21">
        <v>46083.0</v>
      </c>
      <c r="F294" s="4" t="s">
        <v>17</v>
      </c>
      <c r="G294" s="4" t="s">
        <v>18</v>
      </c>
      <c r="H294" s="4"/>
      <c r="I294" s="4"/>
      <c r="J294" s="4"/>
    </row>
    <row r="295" ht="15.75" customHeight="1">
      <c r="A295" s="22" t="s">
        <v>373</v>
      </c>
      <c r="B295" s="14" t="s">
        <v>354</v>
      </c>
      <c r="C295" s="14" t="s">
        <v>359</v>
      </c>
      <c r="D295" s="17" t="s">
        <v>16</v>
      </c>
      <c r="E295" s="21">
        <v>46114.0</v>
      </c>
      <c r="F295" s="4" t="s">
        <v>17</v>
      </c>
      <c r="G295" s="4" t="s">
        <v>18</v>
      </c>
      <c r="H295" s="4"/>
      <c r="I295" s="4"/>
      <c r="J295" s="4"/>
    </row>
    <row r="296" ht="15.75" customHeight="1">
      <c r="A296" s="20" t="s">
        <v>374</v>
      </c>
      <c r="B296" s="14" t="s">
        <v>354</v>
      </c>
      <c r="C296" s="14" t="s">
        <v>359</v>
      </c>
      <c r="D296" s="17"/>
      <c r="E296" s="17"/>
      <c r="F296" s="4" t="s">
        <v>17</v>
      </c>
      <c r="G296" s="4" t="s">
        <v>18</v>
      </c>
      <c r="H296" s="4"/>
      <c r="I296" s="4"/>
      <c r="J296" s="4"/>
    </row>
    <row r="297" ht="15.75" customHeight="1">
      <c r="A297" s="22" t="s">
        <v>375</v>
      </c>
      <c r="B297" s="14" t="s">
        <v>354</v>
      </c>
      <c r="C297" s="14" t="s">
        <v>365</v>
      </c>
      <c r="D297" s="17" t="s">
        <v>22</v>
      </c>
      <c r="E297" s="21">
        <v>46083.0</v>
      </c>
      <c r="F297" s="4" t="s">
        <v>17</v>
      </c>
      <c r="G297" s="4" t="s">
        <v>18</v>
      </c>
      <c r="H297" s="4"/>
      <c r="I297" s="4"/>
      <c r="J297" s="4"/>
    </row>
    <row r="298" ht="15.75" customHeight="1">
      <c r="A298" s="22" t="s">
        <v>376</v>
      </c>
      <c r="B298" s="14" t="s">
        <v>354</v>
      </c>
      <c r="C298" s="14" t="s">
        <v>365</v>
      </c>
      <c r="D298" s="17" t="s">
        <v>22</v>
      </c>
      <c r="E298" s="21">
        <v>46083.0</v>
      </c>
      <c r="F298" s="4" t="s">
        <v>17</v>
      </c>
      <c r="G298" s="4" t="s">
        <v>18</v>
      </c>
      <c r="H298" s="4"/>
      <c r="I298" s="4"/>
      <c r="J298" s="4"/>
    </row>
    <row r="299" ht="15.75" customHeight="1">
      <c r="A299" s="22" t="s">
        <v>377</v>
      </c>
      <c r="B299" s="14" t="s">
        <v>354</v>
      </c>
      <c r="C299" s="14" t="s">
        <v>365</v>
      </c>
      <c r="D299" s="17"/>
      <c r="E299" s="17"/>
      <c r="F299" s="4" t="s">
        <v>17</v>
      </c>
      <c r="G299" s="4" t="s">
        <v>18</v>
      </c>
      <c r="H299" s="4"/>
      <c r="I299" s="4"/>
      <c r="J299" s="4"/>
    </row>
    <row r="300" ht="15.75" customHeight="1">
      <c r="A300" s="22" t="s">
        <v>378</v>
      </c>
      <c r="B300" s="14" t="s">
        <v>354</v>
      </c>
      <c r="C300" s="14" t="s">
        <v>357</v>
      </c>
      <c r="D300" s="17" t="s">
        <v>22</v>
      </c>
      <c r="E300" s="21">
        <v>46115.0</v>
      </c>
      <c r="F300" s="4" t="s">
        <v>17</v>
      </c>
      <c r="G300" s="4" t="s">
        <v>18</v>
      </c>
      <c r="H300" s="4"/>
      <c r="I300" s="4"/>
      <c r="J300" s="4"/>
    </row>
    <row r="301" ht="15.75" customHeight="1">
      <c r="A301" s="20" t="s">
        <v>379</v>
      </c>
      <c r="B301" s="14" t="s">
        <v>354</v>
      </c>
      <c r="C301" s="14" t="s">
        <v>355</v>
      </c>
      <c r="D301" s="17"/>
      <c r="E301" s="17">
        <v>2.0</v>
      </c>
      <c r="F301" s="4" t="s">
        <v>17</v>
      </c>
      <c r="G301" s="4" t="s">
        <v>18</v>
      </c>
      <c r="H301" s="4"/>
      <c r="I301" s="4"/>
      <c r="J301" s="4"/>
    </row>
    <row r="302" ht="15.75" customHeight="1">
      <c r="A302" s="20" t="s">
        <v>380</v>
      </c>
      <c r="B302" s="14" t="s">
        <v>354</v>
      </c>
      <c r="C302" s="14" t="s">
        <v>365</v>
      </c>
      <c r="D302" s="17"/>
      <c r="E302" s="17"/>
      <c r="F302" s="4" t="s">
        <v>17</v>
      </c>
      <c r="G302" s="4" t="s">
        <v>18</v>
      </c>
      <c r="H302" s="4"/>
      <c r="I302" s="4"/>
      <c r="J302" s="4"/>
    </row>
    <row r="303" ht="15.75" customHeight="1">
      <c r="A303" s="20" t="s">
        <v>381</v>
      </c>
      <c r="B303" s="14" t="s">
        <v>354</v>
      </c>
      <c r="C303" s="14" t="s">
        <v>355</v>
      </c>
      <c r="D303" s="17"/>
      <c r="E303" s="21">
        <v>46083.0</v>
      </c>
      <c r="F303" s="4" t="s">
        <v>17</v>
      </c>
      <c r="G303" s="4" t="s">
        <v>18</v>
      </c>
      <c r="H303" s="4"/>
      <c r="I303" s="4"/>
      <c r="J303" s="4"/>
    </row>
    <row r="304" ht="15.75" customHeight="1">
      <c r="A304" s="20" t="s">
        <v>382</v>
      </c>
      <c r="B304" s="14" t="s">
        <v>354</v>
      </c>
      <c r="C304" s="14" t="s">
        <v>359</v>
      </c>
      <c r="D304" s="17" t="s">
        <v>33</v>
      </c>
      <c r="E304" s="17">
        <v>1.0</v>
      </c>
      <c r="F304" s="4" t="s">
        <v>17</v>
      </c>
      <c r="G304" s="4" t="s">
        <v>18</v>
      </c>
      <c r="H304" s="4"/>
      <c r="I304" s="4"/>
      <c r="J304" s="4"/>
    </row>
    <row r="305" ht="15.75" customHeight="1">
      <c r="A305" s="20" t="s">
        <v>383</v>
      </c>
      <c r="B305" s="14" t="s">
        <v>354</v>
      </c>
      <c r="C305" s="14" t="s">
        <v>357</v>
      </c>
      <c r="D305" s="17"/>
      <c r="E305" s="17"/>
      <c r="F305" s="4" t="s">
        <v>17</v>
      </c>
      <c r="G305" s="4" t="s">
        <v>18</v>
      </c>
      <c r="H305" s="4"/>
      <c r="I305" s="4"/>
      <c r="J305" s="4"/>
    </row>
    <row r="306" ht="15.75" customHeight="1">
      <c r="A306" s="20" t="s">
        <v>384</v>
      </c>
      <c r="B306" s="14" t="s">
        <v>354</v>
      </c>
      <c r="C306" s="14" t="s">
        <v>357</v>
      </c>
      <c r="D306" s="17"/>
      <c r="E306" s="17"/>
      <c r="F306" s="4" t="s">
        <v>17</v>
      </c>
      <c r="G306" s="4" t="s">
        <v>18</v>
      </c>
      <c r="H306" s="4"/>
      <c r="I306" s="4"/>
      <c r="J306" s="4"/>
    </row>
    <row r="307" ht="15.75" customHeight="1">
      <c r="A307" s="20" t="s">
        <v>385</v>
      </c>
      <c r="B307" s="14" t="s">
        <v>354</v>
      </c>
      <c r="C307" s="14" t="s">
        <v>357</v>
      </c>
      <c r="D307" s="17"/>
      <c r="E307" s="17"/>
      <c r="F307" s="4" t="s">
        <v>17</v>
      </c>
      <c r="G307" s="4" t="s">
        <v>18</v>
      </c>
      <c r="H307" s="4"/>
      <c r="I307" s="4"/>
      <c r="J307" s="4"/>
    </row>
    <row r="308" ht="15.75" customHeight="1">
      <c r="A308" s="20" t="s">
        <v>386</v>
      </c>
      <c r="B308" s="14" t="s">
        <v>354</v>
      </c>
      <c r="C308" s="14" t="s">
        <v>387</v>
      </c>
      <c r="D308" s="17" t="s">
        <v>22</v>
      </c>
      <c r="E308" s="21">
        <v>46083.0</v>
      </c>
      <c r="F308" s="4" t="s">
        <v>17</v>
      </c>
      <c r="G308" s="4" t="s">
        <v>18</v>
      </c>
      <c r="H308" s="4"/>
      <c r="I308" s="4"/>
      <c r="J308" s="4"/>
    </row>
    <row r="309" ht="15.75" customHeight="1">
      <c r="A309" s="22" t="s">
        <v>388</v>
      </c>
      <c r="B309" s="14" t="s">
        <v>354</v>
      </c>
      <c r="C309" s="14" t="s">
        <v>365</v>
      </c>
      <c r="D309" s="17"/>
      <c r="E309" s="17"/>
      <c r="F309" s="4" t="s">
        <v>17</v>
      </c>
      <c r="G309" s="4" t="s">
        <v>18</v>
      </c>
      <c r="H309" s="4"/>
      <c r="I309" s="4"/>
      <c r="J309" s="4"/>
    </row>
    <row r="310" ht="15.75" customHeight="1">
      <c r="A310" s="20" t="s">
        <v>389</v>
      </c>
      <c r="B310" s="14" t="s">
        <v>354</v>
      </c>
      <c r="C310" s="14" t="s">
        <v>355</v>
      </c>
      <c r="D310" s="17"/>
      <c r="E310" s="17"/>
      <c r="F310" s="4" t="s">
        <v>17</v>
      </c>
      <c r="G310" s="4" t="s">
        <v>18</v>
      </c>
      <c r="H310" s="4"/>
      <c r="I310" s="4"/>
      <c r="J310" s="4"/>
    </row>
    <row r="311" ht="15.75" customHeight="1">
      <c r="A311" s="20" t="s">
        <v>390</v>
      </c>
      <c r="B311" s="14" t="s">
        <v>354</v>
      </c>
      <c r="C311" s="14" t="s">
        <v>359</v>
      </c>
      <c r="D311" s="17"/>
      <c r="E311" s="21">
        <v>46054.0</v>
      </c>
      <c r="F311" s="4" t="s">
        <v>17</v>
      </c>
      <c r="G311" s="4" t="s">
        <v>18</v>
      </c>
      <c r="H311" s="4"/>
      <c r="I311" s="4"/>
      <c r="J311" s="4"/>
    </row>
    <row r="312" ht="15.75" customHeight="1">
      <c r="A312" s="20" t="s">
        <v>391</v>
      </c>
      <c r="B312" s="14" t="s">
        <v>354</v>
      </c>
      <c r="C312" s="14" t="s">
        <v>359</v>
      </c>
      <c r="D312" s="17"/>
      <c r="E312" s="17"/>
      <c r="F312" s="4" t="s">
        <v>17</v>
      </c>
      <c r="G312" s="4" t="s">
        <v>18</v>
      </c>
      <c r="H312" s="4"/>
      <c r="I312" s="4"/>
      <c r="J312" s="4"/>
    </row>
    <row r="313" ht="15.75" customHeight="1">
      <c r="A313" s="22" t="s">
        <v>392</v>
      </c>
      <c r="B313" s="14" t="s">
        <v>354</v>
      </c>
      <c r="C313" s="14" t="s">
        <v>387</v>
      </c>
      <c r="D313" s="17" t="s">
        <v>33</v>
      </c>
      <c r="E313" s="17">
        <v>2.0</v>
      </c>
      <c r="F313" s="4" t="s">
        <v>17</v>
      </c>
      <c r="G313" s="4" t="s">
        <v>18</v>
      </c>
      <c r="H313" s="4"/>
      <c r="I313" s="4"/>
      <c r="J313" s="4"/>
    </row>
    <row r="314" ht="15.75" customHeight="1">
      <c r="A314" s="20" t="s">
        <v>393</v>
      </c>
      <c r="B314" s="14" t="s">
        <v>354</v>
      </c>
      <c r="C314" s="14" t="s">
        <v>355</v>
      </c>
      <c r="D314" s="17"/>
      <c r="E314" s="17"/>
      <c r="F314" s="4" t="s">
        <v>17</v>
      </c>
      <c r="G314" s="4" t="s">
        <v>18</v>
      </c>
      <c r="H314" s="4"/>
      <c r="I314" s="4"/>
      <c r="J314" s="4"/>
    </row>
    <row r="315" ht="15.75" customHeight="1">
      <c r="A315" s="22" t="s">
        <v>394</v>
      </c>
      <c r="B315" s="14" t="s">
        <v>354</v>
      </c>
      <c r="C315" s="14" t="s">
        <v>357</v>
      </c>
      <c r="D315" s="17" t="s">
        <v>16</v>
      </c>
      <c r="E315" s="21">
        <v>46115.0</v>
      </c>
      <c r="F315" s="4" t="s">
        <v>17</v>
      </c>
      <c r="G315" s="4" t="s">
        <v>18</v>
      </c>
      <c r="H315" s="4"/>
      <c r="I315" s="4"/>
      <c r="J315" s="4"/>
    </row>
    <row r="316" ht="15.75" customHeight="1">
      <c r="A316" s="20" t="s">
        <v>395</v>
      </c>
      <c r="B316" s="14" t="s">
        <v>354</v>
      </c>
      <c r="C316" s="14" t="s">
        <v>359</v>
      </c>
      <c r="D316" s="17" t="s">
        <v>16</v>
      </c>
      <c r="E316" s="21">
        <v>46083.0</v>
      </c>
      <c r="F316" s="4" t="s">
        <v>17</v>
      </c>
      <c r="G316" s="4" t="s">
        <v>18</v>
      </c>
      <c r="H316" s="4"/>
      <c r="I316" s="4"/>
      <c r="J316" s="4"/>
    </row>
    <row r="317" ht="15.75" customHeight="1">
      <c r="A317" s="20" t="s">
        <v>396</v>
      </c>
      <c r="B317" s="14" t="s">
        <v>354</v>
      </c>
      <c r="C317" s="14" t="s">
        <v>357</v>
      </c>
      <c r="D317" s="17"/>
      <c r="E317" s="17"/>
      <c r="F317" s="4" t="s">
        <v>17</v>
      </c>
      <c r="G317" s="4" t="s">
        <v>18</v>
      </c>
      <c r="H317" s="4"/>
      <c r="I317" s="4"/>
      <c r="J317" s="4"/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5" width="14.0"/>
    <col customWidth="1" min="6" max="6" width="19.0"/>
    <col customWidth="1" min="7" max="7" width="14.0"/>
    <col customWidth="1" min="8" max="8" width="18.0"/>
    <col customWidth="1" min="9" max="26" width="8.71"/>
  </cols>
  <sheetData>
    <row r="1">
      <c r="A1" s="23" t="s">
        <v>397</v>
      </c>
      <c r="B1" s="23" t="s">
        <v>398</v>
      </c>
      <c r="C1" s="23" t="s">
        <v>399</v>
      </c>
      <c r="D1" s="23" t="s">
        <v>400</v>
      </c>
      <c r="E1" s="23" t="s">
        <v>401</v>
      </c>
      <c r="F1" s="23" t="s">
        <v>402</v>
      </c>
      <c r="G1" s="23" t="s">
        <v>403</v>
      </c>
      <c r="H1" s="23" t="s">
        <v>404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4" width="14.0"/>
    <col customWidth="1" min="5" max="6" width="15.0"/>
    <col customWidth="1" min="7" max="27" width="8.71"/>
  </cols>
  <sheetData>
    <row r="1">
      <c r="A1" s="23" t="s">
        <v>397</v>
      </c>
      <c r="B1" s="23" t="s">
        <v>405</v>
      </c>
      <c r="C1" s="1" t="s">
        <v>400</v>
      </c>
      <c r="D1" s="23" t="s">
        <v>406</v>
      </c>
      <c r="E1" s="23" t="s">
        <v>407</v>
      </c>
      <c r="F1" s="23" t="s">
        <v>408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7.0"/>
    <col customWidth="1" min="3" max="4" width="14.0"/>
    <col customWidth="1" min="5" max="5" width="19.0"/>
    <col customWidth="1" min="6" max="6" width="17.0"/>
    <col customWidth="1" min="7" max="7" width="14.0"/>
    <col customWidth="1" min="8" max="26" width="8.71"/>
  </cols>
  <sheetData>
    <row r="1">
      <c r="A1" s="23" t="s">
        <v>397</v>
      </c>
      <c r="B1" s="23" t="s">
        <v>409</v>
      </c>
      <c r="C1" s="23" t="s">
        <v>410</v>
      </c>
      <c r="D1" s="23" t="s">
        <v>405</v>
      </c>
      <c r="E1" s="23" t="s">
        <v>411</v>
      </c>
      <c r="F1" s="23" t="s">
        <v>412</v>
      </c>
      <c r="G1" s="23" t="s">
        <v>413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8.0"/>
    <col customWidth="1" min="4" max="4" width="8.71"/>
    <col customWidth="1" min="5" max="5" width="16.43"/>
    <col customWidth="1" min="6" max="26" width="8.71"/>
  </cols>
  <sheetData>
    <row r="1">
      <c r="A1" s="24" t="s">
        <v>414</v>
      </c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6" t="s">
        <v>415</v>
      </c>
      <c r="B3" s="26" t="s">
        <v>416</v>
      </c>
      <c r="C3" s="26" t="s">
        <v>417</v>
      </c>
      <c r="D3" s="25"/>
      <c r="E3" s="26" t="s">
        <v>418</v>
      </c>
      <c r="F3" s="26" t="s">
        <v>419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7" t="s">
        <v>420</v>
      </c>
      <c r="B4" s="28">
        <f>COUNTA(Farmacias!A2:A600)</f>
        <v>316</v>
      </c>
      <c r="C4" s="27" t="s">
        <v>421</v>
      </c>
      <c r="D4" s="25"/>
      <c r="E4" s="25" t="s">
        <v>422</v>
      </c>
      <c r="F4" s="29">
        <f>COUNTIF(Farmacias!B2:B600,"Valladolid")</f>
        <v>278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7" t="s">
        <v>423</v>
      </c>
      <c r="B5" s="28">
        <f>COUNTIF(Farmacias!F2:F600,"Contactada")</f>
        <v>0</v>
      </c>
      <c r="C5" s="27" t="s">
        <v>424</v>
      </c>
      <c r="D5" s="25"/>
      <c r="E5" s="25" t="s">
        <v>425</v>
      </c>
      <c r="F5" s="29">
        <f>COUNTIF(Farmacias!B2:B600,"Palencia")</f>
        <v>38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7" t="s">
        <v>426</v>
      </c>
      <c r="B6" s="28">
        <f>COUNTIF(Farmacias!F2:F600,"Reunión")</f>
        <v>0</v>
      </c>
      <c r="C6" s="27" t="s">
        <v>427</v>
      </c>
      <c r="D6" s="25"/>
      <c r="E6" s="25" t="s">
        <v>428</v>
      </c>
      <c r="F6" s="29">
        <f>COUNTIF(Farmacias!B2:B600,"Salamanca")</f>
        <v>0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7" t="s">
        <v>429</v>
      </c>
      <c r="B7" s="28">
        <f>COUNTIF(Farmacias!F2:F600,"Auditoría")</f>
        <v>0</v>
      </c>
      <c r="C7" s="27" t="s">
        <v>430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30" t="s">
        <v>431</v>
      </c>
      <c r="B8" s="28">
        <f>COUNTIF(Farmacias!F2:F600,"Propuesta enviada")</f>
        <v>0</v>
      </c>
      <c r="C8" s="27" t="s">
        <v>432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7" t="s">
        <v>433</v>
      </c>
      <c r="B9" s="28">
        <f>COUNTIF(Farmacias!F2:F600,"Cliente activo")</f>
        <v>0</v>
      </c>
      <c r="C9" s="27" t="s">
        <v>434</v>
      </c>
      <c r="D9" s="25"/>
      <c r="E9" s="26" t="s">
        <v>435</v>
      </c>
      <c r="F9" s="26" t="s">
        <v>419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7" t="s">
        <v>436</v>
      </c>
      <c r="B10" s="31">
        <f>SUM(Farmacias!U2:U600)</f>
        <v>0</v>
      </c>
      <c r="C10" s="27" t="s">
        <v>437</v>
      </c>
      <c r="D10" s="25"/>
      <c r="E10" s="25" t="s">
        <v>33</v>
      </c>
      <c r="F10" s="29">
        <f>COUNTIF(Farmacias!D2:D600,"ALTA")</f>
        <v>23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438</v>
      </c>
      <c r="B11" s="32">
        <f>IFERROR(B4/B3,0)</f>
        <v>0</v>
      </c>
      <c r="C11" s="27" t="s">
        <v>439</v>
      </c>
      <c r="D11" s="25"/>
      <c r="E11" s="25" t="s">
        <v>22</v>
      </c>
      <c r="F11" s="29">
        <f>COUNTIF(Farmacias!D2:D600,"MEDIA")</f>
        <v>46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7" t="s">
        <v>440</v>
      </c>
      <c r="B12" s="32">
        <f>IFERROR(B7/B5,0)</f>
        <v>0</v>
      </c>
      <c r="C12" s="27" t="s">
        <v>441</v>
      </c>
      <c r="D12" s="25"/>
      <c r="E12" s="25" t="s">
        <v>16</v>
      </c>
      <c r="F12" s="29">
        <f>COUNTIF(Farmacias!D2:D600,"BAJA")</f>
        <v>44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25"/>
      <c r="C13" s="25"/>
      <c r="D13" s="25"/>
      <c r="E13" s="25" t="s">
        <v>442</v>
      </c>
      <c r="F13" s="29">
        <f>COUNTBLANK(Farmacias!D2:D600)</f>
        <v>486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33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6" t="s">
        <v>443</v>
      </c>
      <c r="B15" s="26" t="s">
        <v>444</v>
      </c>
      <c r="C15" s="26" t="s">
        <v>445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 t="s">
        <v>17</v>
      </c>
      <c r="B16" s="29">
        <f>COUNTIF(Farmacias!F2:F600,"Prospecto")</f>
        <v>316</v>
      </c>
      <c r="C16" s="34">
        <f t="shared" ref="C16:C22" si="1">IFERROR(B16/$B$4,0)</f>
        <v>1</v>
      </c>
      <c r="D16" s="25"/>
      <c r="E16" s="26" t="s">
        <v>404</v>
      </c>
      <c r="F16" s="26" t="s">
        <v>419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 t="s">
        <v>446</v>
      </c>
      <c r="B17" s="29">
        <f>COUNTIF(Farmacias!F2:F600,"Contactada")</f>
        <v>0</v>
      </c>
      <c r="C17" s="34">
        <f t="shared" si="1"/>
        <v>0</v>
      </c>
      <c r="D17" s="25"/>
      <c r="E17" s="25" t="s">
        <v>447</v>
      </c>
      <c r="F17" s="29">
        <f>COUNTIF(Farmacias!AA2:AA600,"Visitar")</f>
        <v>0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 t="s">
        <v>448</v>
      </c>
      <c r="B18" s="29">
        <f>COUNTIF(Farmacias!F2:F600,"Reunión")</f>
        <v>0</v>
      </c>
      <c r="C18" s="34">
        <f t="shared" si="1"/>
        <v>0</v>
      </c>
      <c r="D18" s="25"/>
      <c r="E18" s="25" t="s">
        <v>449</v>
      </c>
      <c r="F18" s="29">
        <f>COUNTIF(Farmacias!AA2:AA600,"Seguimiento")</f>
        <v>0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 t="s">
        <v>450</v>
      </c>
      <c r="B19" s="29">
        <f>COUNTIF(Farmacias!F2:F600,"Auditoría")</f>
        <v>0</v>
      </c>
      <c r="C19" s="34">
        <f t="shared" si="1"/>
        <v>0</v>
      </c>
      <c r="D19" s="25"/>
      <c r="E19" s="25" t="s">
        <v>451</v>
      </c>
      <c r="F19" s="29">
        <f>COUNTIF(Farmacias!AA2:AA600,"Programada")</f>
        <v>0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 t="s">
        <v>452</v>
      </c>
      <c r="B20" s="29">
        <f>COUNTIF(Farmacias!F2:F600,"Propuesta enviada")</f>
        <v>0</v>
      </c>
      <c r="C20" s="34">
        <f t="shared" si="1"/>
        <v>0</v>
      </c>
      <c r="D20" s="25"/>
      <c r="E20" s="25" t="s">
        <v>453</v>
      </c>
      <c r="F20" s="29">
        <f>COUNTIF(Farmacias!AA2:AA600,"Mantenimiento")</f>
        <v>0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5" t="s">
        <v>454</v>
      </c>
      <c r="B21" s="29">
        <f>COUNTIF(Farmacias!F2:F600,"Cliente activo")</f>
        <v>0</v>
      </c>
      <c r="C21" s="34">
        <f t="shared" si="1"/>
        <v>0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5" t="s">
        <v>455</v>
      </c>
      <c r="B22" s="29">
        <f>COUNTIF(Farmacias!F2:F600,"Perdido")</f>
        <v>0</v>
      </c>
      <c r="C22" s="34">
        <f t="shared" si="1"/>
        <v>0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2026-05-06T16:46:20Z</dcterms:created>
  <dc:creator>openpyxl</dc:creator>
</cp:coreProperties>
</file>